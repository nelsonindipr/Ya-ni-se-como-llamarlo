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034ead50b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turce Attribute Matrix" sheetId="1" r:id="Rc340375747934ec0"/>
    <x:sheet xmlns:r="http://schemas.openxmlformats.org/officeDocument/2006/relationships" name="OVR Weights" sheetId="2" r:id="Re5f96c27217642d0"/>
    <x:sheet xmlns:r="http://schemas.openxmlformats.org/officeDocument/2006/relationships" name="Guide" sheetId="3" r:id="Rd365031f7f9e42df"/>
    <x:sheet xmlns:r="http://schemas.openxmlformats.org/officeDocument/2006/relationships" name="Sources" sheetId="4" r:id="R63770f8e94ac4c01"/>
    <x:sheet xmlns:r="http://schemas.openxmlformats.org/officeDocument/2006/relationships" name="Archetype OVR Debug" sheetId="5" r:id="Rd35a5c14990b4917"/>
    <x:sheet xmlns:r="http://schemas.openxmlformats.org/officeDocument/2006/relationships" name="OVR Calibration" sheetId="6" r:id="R71dea91a178842dd"/>
  </x:sheets>
</x:workbook>
</file>

<file path=xl/sharedStrings.xml><?xml version="1.0" encoding="utf-8"?>
<x:sst xmlns:x="http://schemas.openxmlformats.org/spreadsheetml/2006/main">
  <x:si>
    <x:t xml:space="preserve">Attribute</x:t>
  </x:si>
  <x:si>
    <x:t xml:space="preserve">Ángel Rodríguez</x:t>
  </x:si>
  <x:si>
    <x:t xml:space="preserve">Walter Hodge</x:t>
  </x:si>
  <x:si>
    <x:t xml:space="preserve">Jordan Howard</x:t>
  </x:si>
  <x:si>
    <x:t xml:space="preserve">Emmanuel Maldonado</x:t>
  </x:si>
  <x:si>
    <x:t xml:space="preserve">David Huertas</x:t>
  </x:si>
  <x:si>
    <x:t xml:space="preserve">Corey McKeithan</x:t>
  </x:si>
  <x:si>
    <x:t xml:space="preserve">Malik Beasley</x:t>
  </x:si>
  <x:si>
    <x:t xml:space="preserve">Ángel Matías</x:t>
  </x:si>
  <x:si>
    <x:t xml:space="preserve">Isaiah Piñeiro</x:t>
  </x:si>
  <x:si>
    <x:t xml:space="preserve">Tyler Polo</x:t>
  </x:si>
  <x:si>
    <x:t xml:space="preserve">Xavier Zambrana</x:t>
  </x:si>
  <x:si>
    <x:t xml:space="preserve">Devon Collier</x:t>
  </x:si>
  <x:si>
    <x:t xml:space="preserve">Davon Jefferson</x:t>
  </x:si>
  <x:si>
    <x:t xml:space="preserve">Viktor Lakhin</x:t>
  </x:si>
  <x:si>
    <x:t xml:space="preserve">Primary Position</x:t>
  </x:si>
  <x:si>
    <x:t xml:space="preserve">PG</x:t>
  </x:si>
  <x:si>
    <x:t xml:space="preserve">SG</x:t>
  </x:si>
  <x:si>
    <x:t xml:space="preserve">SF</x:t>
  </x:si>
  <x:si>
    <x:t xml:space="preserve">PF</x:t>
  </x:si>
  <x:si>
    <x:t xml:space="preserve">C</x:t>
  </x:si>
  <x:si>
    <x:t xml:space="preserve">Secondary Position</x:t>
  </x:si>
  <x:si>
    <x:t xml:space="preserve">None</x:t>
  </x:si>
  <x:si>
    <x:t xml:space="preserve">Natural/Profile OVR</x:t>
  </x:si>
  <x:si>
    <x:t xml:space="preserve">Target OVR / reference</x:t>
  </x:si>
  <x:si>
    <x:t xml:space="preserve">closeShot</x:t>
  </x:si>
  <x:si>
    <x:t xml:space="preserve">drivingLayup</x:t>
  </x:si>
  <x:si>
    <x:t xml:space="preserve">drivingDunk</x:t>
  </x:si>
  <x:si>
    <x:t xml:space="preserve">standingDunk</x:t>
  </x:si>
  <x:si>
    <x:t xml:space="preserve">postControl</x:t>
  </x:si>
  <x:si>
    <x:t xml:space="preserve">drawFoul</x:t>
  </x:si>
  <x:si>
    <x:t xml:space="preserve">midRange</x:t>
  </x:si>
  <x:si>
    <x:t xml:space="preserve">threePoint</x:t>
  </x:si>
  <x:si>
    <x:t xml:space="preserve">freeThrow</x:t>
  </x:si>
  <x:si>
    <x:t xml:space="preserve">shotCreation</x:t>
  </x:si>
  <x:si>
    <x:t xml:space="preserve">offBallMovement</x:t>
  </x:si>
  <x:si>
    <x:t xml:space="preserve">passAccuracy</x:t>
  </x:si>
  <x:si>
    <x:t xml:space="preserve">ballHandle</x:t>
  </x:si>
  <x:si>
    <x:t xml:space="preserve">interiorDefense</x:t>
  </x:si>
  <x:si>
    <x:t xml:space="preserve">perimeterDefense</x:t>
  </x:si>
  <x:si>
    <x:t xml:space="preserve">steal</x:t>
  </x:si>
  <x:si>
    <x:t xml:space="preserve">block</x:t>
  </x:si>
  <x:si>
    <x:t xml:space="preserve">offensiveRebound</x:t>
  </x:si>
  <x:si>
    <x:t xml:space="preserve">defensiveRebound</x:t>
  </x:si>
  <x:si>
    <x:t xml:space="preserve">speed</x:t>
  </x:si>
  <x:si>
    <x:t xml:space="preserve">acceleration</x:t>
  </x:si>
  <x:si>
    <x:t xml:space="preserve">strength</x:t>
  </x:si>
  <x:si>
    <x:t xml:space="preserve">vertical</x:t>
  </x:si>
  <x:si>
    <x:t xml:space="preserve">stamina</x:t>
  </x:si>
  <x:si>
    <x:t xml:space="preserve">offensiveIQ</x:t>
  </x:si>
  <x:si>
    <x:t xml:space="preserve">defensiveIQ</x:t>
  </x:si>
  <x:si>
    <x:t xml:space="preserve">clutch</x:t>
  </x:si>
  <x:si>
    <x:t xml:space="preserve">hustle</x:t>
  </x:si>
  <x:si>
    <x:t xml:space="preserve">OVR formula notes</x:t>
  </x:si>
  <x:si>
    <x:t xml:space="preserve">Natural/Profile OVR uses only the player's Primary Position. No 75% primary + 25% secondary blend.</x:t>
  </x:si>
  <x:si>
    <x:t xml:space="preserve">Secondary Position does not mix into the main OVR. It only identifies another position the player can play without out-of-position penalty.</x:t>
  </x:si>
  <x:si>
    <x:t xml:space="preserve">Weights are decimals; 0.080 = 8.0% of the position OVR formula. Each position column must total 100%.</x:t>
  </x:si>
  <x:si>
    <x:t xml:space="preserve">speedWithBall is removed and is not used anywhere in attributes, weights, or OVR formulas.</x:t>
  </x:si>
  <x:si>
    <x:t xml:space="preserve">Total</x:t>
  </x:si>
  <x:si>
    <x:t xml:space="preserve">Purpose</x:t>
  </x:si>
  <x:si>
    <x:t xml:space="preserve">Fill the attribute values manually. Natural/Profile OVR calculates automatically from the Primary Position formula only.</x:t>
  </x:si>
  <x:si>
    <x:t xml:space="preserve">Out-of-position distance</x:t>
  </x:si>
  <x:si>
    <x:t xml:space="preserve">Penalty</x:t>
  </x:si>
  <x:si>
    <x:t xml:space="preserve">Use the dropdown above each player. This is the only position used for the main Natural/Profile OVR.</x:t>
  </x:si>
  <x:si>
    <x:t xml:space="preserve">Use None or choose a secondary position. It does not blend into the main OVR; it only prevents penalty when used there in lineups.</x:t>
  </x:si>
  <x:si>
    <x:t xml:space="preserve">Row 5 preserves the target/reference OVR. To reach a target, adjust attributes until Natural/Profile OVR matches it.</x:t>
  </x:si>
  <x:si>
    <x:t xml:space="preserve">Attribute Range</x:t>
  </x:si>
  <x:si>
    <x:t xml:space="preserve">Use whole numbers from 25 to 99 using the BSN/2K scale.</x:t>
  </x:si>
  <x:si>
    <x:t xml:space="preserve">No manual OVR edits</x:t>
  </x:si>
  <x:si>
    <x:t xml:space="preserve">Natural/Profile OVR should not be typed manually. Change attributes and/or OVR weights instead.</x:t>
  </x:si>
  <x:si>
    <x:t xml:space="preserve">Removed attribute</x:t>
  </x:si>
  <x:si>
    <x:t xml:space="preserve">speedWithBall is not included in attributes, weights, or any OVR formula.</x:t>
  </x:si>
  <x:si>
    <x:t xml:space="preserve">Position index</x:t>
  </x:si>
  <x:si>
    <x:t xml:space="preserve">PG=0, SG=1, SF=2, PF=3, C=4</x:t>
  </x:si>
  <x:si>
    <x:t xml:space="preserve">Position OVR rule</x:t>
  </x:si>
  <x:si>
    <x:t xml:space="preserve">A player can have separate PG/SG/SF/PF/C OVRs using the same attributes but different position formulas.</x:t>
  </x:si>
  <x:si>
    <x:t xml:space="preserve">Effective lineup OVR</x:t>
  </x:si>
  <x:si>
    <x:t xml:space="preserve">In lineups: calculate assigned-position OVR, then subtract out-of-position penalty based on closest primary/secondary position.</x:t>
  </x:si>
  <x:si>
    <x:t xml:space="preserve">95-99</x:t>
  </x:si>
  <x:si>
    <x:t xml:space="preserve">Élite absoluto / mejor de la liga: habilidad que define al jugador; muy pocos deben tener esto.</x:t>
  </x:si>
  <x:si>
    <x:t xml:space="preserve">90-94</x:t>
  </x:si>
  <x:si>
    <x:t xml:space="preserve">Élite BSN: top de la liga en esa área; gana ventaja clara.</x:t>
  </x:si>
  <x:si>
    <x:t xml:space="preserve">85-89</x:t>
  </x:si>
  <x:si>
    <x:t xml:space="preserve">Muy bueno: fortaleza grande, se nota cada juego.</x:t>
  </x:si>
  <x:si>
    <x:t xml:space="preserve">80-84</x:t>
  </x:si>
  <x:si>
    <x:t xml:space="preserve">Bueno alto: habilidad fuerte y confiable, starter fuerte o jugador importante.</x:t>
  </x:si>
  <x:si>
    <x:t xml:space="preserve">75-79</x:t>
  </x:si>
  <x:si>
    <x:t xml:space="preserve">Bueno: habilidad sólida, confiable sin ser élite.</x:t>
  </x:si>
  <x:si>
    <x:t xml:space="preserve">70-74</x:t>
  </x:si>
  <x:si>
    <x:t xml:space="preserve">Promedio alto: por encima del promedio BSN; cumple bien.</x:t>
  </x:si>
  <x:si>
    <x:t xml:space="preserve">65-69</x:t>
  </x:si>
  <x:si>
    <x:t xml:space="preserve">Promedio BSN: rotación normal; no destaca ni es gran debilidad.</x:t>
  </x:si>
  <x:si>
    <x:t xml:space="preserve">60-64</x:t>
  </x:si>
  <x:si>
    <x:t xml:space="preserve">Promedio bajo: usable, pero puede ser explotado o limitado.</x:t>
  </x:si>
  <x:si>
    <x:t xml:space="preserve">55-59</x:t>
  </x:si>
  <x:si>
    <x:t xml:space="preserve">Bajo usable: sobrevive, pero es debilidad clara.</x:t>
  </x:si>
  <x:si>
    <x:t xml:space="preserve">50-54</x:t>
  </x:si>
  <x:si>
    <x:t xml:space="preserve">Bajo: no confiable en esa área.</x:t>
  </x:si>
  <x:si>
    <x:t xml:space="preserve">45-49</x:t>
  </x:si>
  <x:si>
    <x:t xml:space="preserve">Muy bajo: casi no aporta.</x:t>
  </x:si>
  <x:si>
    <x:t xml:space="preserve">25-44</x:t>
  </x:si>
  <x:si>
    <x:t xml:space="preserve">Deficiente: prácticamente no tiene esa habilidad para nivel BSN.</x:t>
  </x:si>
  <x:si>
    <x:t xml:space="preserve">Player</x:t>
  </x:si>
  <x:si>
    <x:t xml:space="preserve">Season/Data basis</x:t>
  </x:si>
  <x:si>
    <x:t xml:space="preserve">Key stats/context used</x:t>
  </x:si>
  <x:si>
    <x:t xml:space="preserve">Source URL</x:t>
  </x:si>
  <x:si>
    <x:t xml:space="preserve">Rating note</x:t>
  </x:si>
  <x:si>
    <x:t xml:space="preserve">2024-25 BSN / all leagues</x:t>
  </x:si>
  <x:si>
    <x:t xml:space="preserve">Santurce BSN: 42 GP, 24.0 MPG, 12.9 PPG, 4.4 APG, .364 3P, .856 FT</x:t>
  </x:si>
  <x:si>
    <x:t xml:space="preserve">https://basketball.realgm.com/player/Walter-Hodge/Summary/5637</x:t>
  </x:si>
  <x:si>
    <x:t xml:space="preserve">Elite IQ/passing/clutch kept high; athleticism reduced for age.</x:t>
  </x:si>
  <x:si>
    <x:t xml:space="preserve">2024-25 BSN + CBA</x:t>
  </x:si>
  <x:si>
    <x:t xml:space="preserve">Osos BSN: 18.4 PPG, 4.9 APG, .454 3P; all leagues: 18.5 PPG, .414 3P, .890 FT</x:t>
  </x:si>
  <x:si>
    <x:t xml:space="preserve">https://basketball.realgm.com/player/Jordan-Howard/Summary/81316</x:t>
  </x:si>
  <x:si>
    <x:t xml:space="preserve">High-end BSN shotmaker; shooting and creation rated elite BSN, defense not elite.</x:t>
  </x:si>
  <x:si>
    <x:t xml:space="preserve">2023-24 BSN / last strong BSN sample</x:t>
  </x:si>
  <x:si>
    <x:t xml:space="preserve">Santurce totals: 30 GP, 241 PTS, .450 FG, .412 3P, 51 AST</x:t>
  </x:si>
  <x:si>
    <x:t xml:space="preserve">https://basketball.realgm.com/international/league/62/Puerto-Rican-BSN/team/537/Cangrejeros-de-Santurce/stats/2024/Totals/Qualified/Pro/trb/PG/desc</x:t>
  </x:si>
  <x:si>
    <x:t xml:space="preserve">Good young scorer/shooter; kept below strong-starter OVR until larger 2025 sample.</x:t>
  </x:si>
  <x:si>
    <x:t xml:space="preserve">2024-25 BSN + LNBP</x:t>
  </x:si>
  <x:si>
    <x:t xml:space="preserve">Gigantes BSN: 36 GP, 6.3 PPG, .364 3P, .780 FT; all leagues .393 3P</x:t>
  </x:si>
  <x:si>
    <x:t xml:space="preserve">https://basketball.realgm.com/player/David-Huertas/Summary/4802</x:t>
  </x:si>
  <x:si>
    <x:t xml:space="preserve">Veteran shooting/IQ preserved; athletic/defensive ratings lowered.</x:t>
  </x:si>
  <x:si>
    <x:t xml:space="preserve">2025-26 Slovakia + college context</x:t>
  </x:si>
  <x:si>
    <x:t xml:space="preserve">BC Komarno: 18.9 PPG, 2.9 RPG, 3.9 APG, 45.7 FG% in 28.6 MPG</x:t>
  </x:si>
  <x:si>
    <x:t xml:space="preserve">https://scoutbasketball.com/player/corey-mckeithan</x:t>
  </x:si>
  <x:si>
    <x:t xml:space="preserve">Translated down to BSN baseline because Slovakia production is not equal to proven BSN starter dominance.</x:t>
  </x:si>
  <x:si>
    <x:t xml:space="preserve">2024-25 NBA</x:t>
  </x:si>
  <x:si>
    <x:t xml:space="preserve">Detroit: 82 GP, 16.3 PPG, 41.6 3P%, high volume NBA shooting</x:t>
  </x:si>
  <x:si>
    <x:t xml:space="preserve">https://www.espn.com/nba/player/gamelog/_/id/3907822/malik-beasley</x:t>
  </x:si>
  <x:si>
    <x:t xml:space="preserve">NBA production translated up strongly; 3PT/off-ball near max, but not every attribute is 90+.</x:t>
  </x:si>
  <x:si>
    <x:t xml:space="preserve">2024-25 BSN</x:t>
  </x:si>
  <x:si>
    <x:t xml:space="preserve">Santurce: 46 GP, 23.0 MPG, 12.0 PPG, 4.2 RPG, .564 FG, .438 3P</x:t>
  </x:si>
  <x:si>
    <x:t xml:space="preserve">https://basketball.realgm.com/player/Angel-Matias/Summary/58781</x:t>
  </x:si>
  <x:si>
    <x:t xml:space="preserve">Efficient two-way local/forward profile; strong but not superstar OVR.</x:t>
  </x:si>
  <x:si>
    <x:t xml:space="preserve">2024-25 BSN / career context</x:t>
  </x:si>
  <x:si>
    <x:t xml:space="preserve">Santurce: 18 GP, 7.3 PPG, 4.1 RPG, 2.0 APG, .886 FT, .250 3P</x:t>
  </x:si>
  <x:si>
    <x:t xml:space="preserve">https://basketball.realgm.com/international/league/62/Puerto-Rican-BSN/team/537/Cangrejeros-de-Santurce/stats/2025/Averages/Qualified/All/drb/All/desc/1/Regular_Season</x:t>
  </x:si>
  <x:si>
    <x:t xml:space="preserve">Strong physical forward; 3PT lowered because 2025 BSN sample was inefficient.</x:t>
  </x:si>
  <x:si>
    <x:t xml:space="preserve">Santurce: 35 GP, 7.9 MPG, 2.0 PPG, .394 3P, 1.0 RPG</x:t>
  </x:si>
  <x:si>
    <x:t xml:space="preserve">https://basketball.realgm.com/player/Tyler-Polo/Summary/49863</x:t>
  </x:si>
  <x:si>
    <x:t xml:space="preserve">Depth specialist; 3PT usable but OVR remains low due limited role/volume.</x:t>
  </x:si>
  <x:si>
    <x:t xml:space="preserve">Santurce: 15 GP, 4.7 MPG, 1.1 PPG, 1.0 RPG, 0.6 APG</x:t>
  </x:si>
  <x:si>
    <x:t xml:space="preserve">https://basketball.realgm.com/international/league/62/Puerto-Rican-BSN/team/537/Cangrejeros-de-Santurce/stats/2025/Averages/Qualified/Pro/points/SF/desc/1/Regular_Season</x:t>
  </x:si>
  <x:si>
    <x:t xml:space="preserve">End-of-bench/depth rating; hustle and baseline size kept usable.</x:t>
  </x:si>
  <x:si>
    <x:t xml:space="preserve">Santurce: 43 GP, 16.6 MPG, 7.2 PPG, 5.2 RPG, .628 FG; PER 18.5</x:t>
  </x:si>
  <x:si>
    <x:t xml:space="preserve">https://basketball.realgm.com/international/league/62/Puerto-Rican-BSN/team/537/Cangrejeros-de-Santurce/stats/2025/Advanced_Stats/All/All/per/PF/desc/1/Regular_Season</x:t>
  </x:si>
  <x:si>
    <x:t xml:space="preserve">Efficient interior/rebound big; FT/3PT kept low.</x:t>
  </x:si>
  <x:si>
    <x:t xml:space="preserve">San Germán: 5 GP, 11.2 PPG, 8.8 RPG, .833 FG in 24.2 MPG</x:t>
  </x:si>
  <x:si>
    <x:t xml:space="preserve">https://basketball.realgm.com/international/league/62/Puerto-Rican-BSN/team/1130/Atleticos-de-San-German/stats/2025/Totals/Qualified/All/points/C/desc/1/Regular_Season</x:t>
  </x:si>
  <x:si>
    <x:t xml:space="preserve">Small sample but elite interior efficiency/rebounding; age/FT/no 3PT cap overall.</x:t>
  </x:si>
  <x:si>
    <x:t xml:space="preserve">2024-25 NCAA ACC</x:t>
  </x:si>
  <x:si>
    <x:t xml:space="preserve">Clemson: 34 GP, 33 starts, 11.4 PPG, 6.4 RPG, 50 blocks, .375 3P</x:t>
  </x:si>
  <x:si>
    <x:t xml:space="preserve">https://clemsontigers.com/sports/mens-basketball/roster/player/viktor-lakhin</x:t>
  </x:si>
  <x:si>
    <x:t xml:space="preserve">ACC production translated to strong BSN big, not NBA-level; block/interior ratings stand out.</x:t>
  </x:si>
</x:sst>
</file>

<file path=xl/styles.xml><?xml version="1.0" encoding="utf-8"?>
<x:styleSheet xmlns:x="http://schemas.openxmlformats.org/spreadsheetml/2006/main">
  <x:numFmts count="1">
    <x:numFmt numFmtId="164" formatCode="0.0000"/>
  </x:numFmts>
  <x:fonts count="7">
    <x:font>
      <x:sz val="11"/>
      <x:name val="Carlito"/>
    </x:font>
    <x:font>
      <x:sz val="10"/>
      <x:name val="Aptos"/>
    </x:font>
    <x:font>
      <x:b/>
      <x:sz val="10"/>
      <x:name val="Aptos"/>
    </x:font>
    <x:font>
      <x:b/>
      <x:sz val="11"/>
      <x:color rgb="0F172A"/>
      <x:name val="Carlito"/>
    </x:font>
    <x:font>
      <x:b/>
      <x:sz val="10"/>
      <x:color rgb="0F172A"/>
      <x:name val="Calibri"/>
    </x:font>
    <x:font>
      <x:sz val="10"/>
      <x:name val="Calibri"/>
    </x:font>
    <x:font>
      <x:b/>
      <x:sz val="10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4F7FA"/>
      </x:patternFill>
    </x:fill>
    <x:fill>
      <x:patternFill patternType="solid">
        <x:fgColor rgb="E7F3E7"/>
      </x:patternFill>
    </x:fill>
    <x:fill>
      <x:patternFill patternType="solid">
        <x:fgColor rgb="FFF2CC"/>
      </x:patternFill>
    </x:fill>
    <x:fill>
      <x:patternFill patternType="solid">
        <x:fgColor rgb="E8F0FE"/>
      </x:patternFill>
    </x:fill>
    <x:fill>
      <x:patternFill patternType="solid">
        <x:fgColor rgb="D9EAF7"/>
      </x:patternFill>
    </x:fill>
    <x:fill>
      <x:patternFill patternType="solid">
        <x:fgColor rgb="F8FAFC"/>
      </x:patternFill>
    </x:fill>
    <x:fill>
      <x:patternFill patternType="solid">
        <x:fgColor rgb="E0F2FE"/>
      </x:patternFill>
    </x:fill>
    <x:fill>
      <x:patternFill patternType="solid">
        <x:fgColor rgb="FDF6B2"/>
      </x:patternFill>
    </x:fill>
  </x:fills>
  <x:borders count="2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right style="thin">
        <x:color rgb="E2E8F0"/>
      </x:right>
      <x:bottom style="thin">
        <x:color rgb="E2E8F0"/>
      </x:bottom>
    </x:border>
    <x:border>
      <x:left style="thin">
        <x:color rgb="E2E8F0"/>
      </x:left>
      <x:right style="thin">
        <x:color rgb="E2E8F0"/>
      </x:right>
      <x:bottom style="thin">
        <x:color rgb="E2E8F0"/>
      </x:bottom>
    </x:border>
    <x:border>
      <x:left style="thin">
        <x:color rgb="E2E8F0"/>
      </x:left>
      <x:bottom style="thin">
        <x:color rgb="E2E8F0"/>
      </x:bottom>
    </x:border>
    <x:border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top style="thin">
        <x:color rgb="E2E8F0"/>
      </x:top>
      <x:bottom style="thin">
        <x:color rgb="E2E8F0"/>
      </x:bottom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  <x:right style="thin">
        <x:color rgb="E2E8F0"/>
      </x:right>
      <x:top style="thin">
        <x:color rgb="E2E8F0"/>
      </x:top>
    </x:border>
    <x:border>
      <x:left style="thin">
        <x:color rgb="E2E8F0"/>
      </x:left>
      <x:top style="thin">
        <x:color rgb="E2E8F0"/>
      </x:top>
    </x:border>
    <x:border>
      <x:right style="thin">
        <x:color rgb="E2E8F0"/>
      </x:right>
      <x:bottom style="thin">
        <x:color rgb="E2E8F0"/>
      </x:bottom>
    </x:border>
    <x:border>
      <x:left style="thin">
        <x:color rgb="E2E8F0"/>
      </x:left>
      <x:right style="thin">
        <x:color rgb="E2E8F0"/>
      </x:right>
      <x:bottom style="thin">
        <x:color rgb="E2E8F0"/>
      </x:bottom>
    </x:border>
    <x:border>
      <x:left style="thin">
        <x:color rgb="E2E8F0"/>
      </x:left>
      <x:bottom style="thin">
        <x:color rgb="E2E8F0"/>
      </x:bottom>
    </x:border>
    <x:border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right style="thin">
        <x:color rgb="E2E8F0"/>
      </x:right>
      <x:top style="thin">
        <x:color rgb="E2E8F0"/>
      </x:top>
      <x:bottom style="thin">
        <x:color rgb="E2E8F0"/>
      </x:bottom>
    </x:border>
    <x:border>
      <x:left style="thin">
        <x:color rgb="E2E8F0"/>
      </x:left>
      <x:top style="thin">
        <x:color rgb="E2E8F0"/>
      </x:top>
      <x:bottom style="thin">
        <x:color rgb="E2E8F0"/>
      </x:bottom>
    </x:border>
    <x:border>
      <x:right style="thin">
        <x:color rgb="E2E8F0"/>
      </x:right>
      <x:top style="thin">
        <x:color rgb="E2E8F0"/>
      </x:top>
    </x:border>
    <x:border>
      <x:left style="thin">
        <x:color rgb="E2E8F0"/>
      </x:left>
      <x:right style="thin">
        <x:color rgb="E2E8F0"/>
      </x:right>
      <x:top style="thin">
        <x:color rgb="E2E8F0"/>
      </x:top>
    </x:border>
    <x:border>
      <x:left style="thin">
        <x:color rgb="E2E8F0"/>
      </x:left>
      <x:top style="thin">
        <x:color rgb="E2E8F0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Font="1"/>
    <x:xf numFmtId="0" fontId="2" fillId="3" borderId="1" xfId="0" applyFont="1" applyFill="1" applyBorder="1" applyAlignment="1">
      <x:alignment horizontal="center"/>
    </x:xf>
    <x:xf numFmtId="0" fontId="2" fillId="2" borderId="1" xfId="0" applyFont="1" applyFill="1" applyBorder="1" applyAlignment="1">
      <x:alignment horizontal="center"/>
    </x:xf>
    <x:xf numFmtId="0" fontId="2" fillId="3" borderId="1" xfId="0" applyFont="1" applyFill="1" applyBorder="1"/>
    <x:xf numFmtId="0" fontId="1" fillId="0" borderId="1" xfId="0" applyFont="1" applyBorder="1"/>
    <x:xf numFmtId="0" fontId="2" fillId="4" borderId="1" xfId="0" applyFont="1" applyFill="1" applyBorder="1"/>
    <x:xf numFmtId="1" fontId="1" fillId="0" borderId="1" xfId="0" applyNumberFormat="1" applyFont="1" applyBorder="1"/>
    <x:xf numFmtId="1" fontId="2" fillId="5" borderId="1" xfId="0" applyNumberFormat="1" applyFont="1" applyFill="1" applyBorder="1"/>
    <x:xf numFmtId="164" fontId="1" fillId="0" borderId="1" xfId="0" applyNumberFormat="1" applyFont="1" applyBorder="1"/>
    <x:xf numFmtId="164" fontId="2" fillId="4" borderId="1" xfId="0" applyNumberFormat="1" applyFont="1" applyFill="1" applyBorder="1"/>
    <x:xf numFmtId="0" fontId="1" fillId="0" borderId="0" xfId="0" applyFont="1" applyAlignment="1">
      <x:alignment wrapText="1"/>
    </x:xf>
    <x:xf numFmtId="0" fontId="2" fillId="2" borderId="1" xfId="0" applyFont="1" applyFill="1" applyBorder="1"/>
    <x:xf numFmtId="0" fontId="2" fillId="2" borderId="1" xfId="0" applyFont="1" applyFill="1" applyBorder="1" applyAlignment="1">
      <x:alignment wrapText="1"/>
    </x:xf>
    <x:xf numFmtId="0" fontId="2" fillId="0" borderId="1" xfId="0" applyFont="1" applyBorder="1"/>
    <x:xf numFmtId="0" fontId="2" fillId="6" borderId="1" xfId="0" applyFont="1" applyFill="1" applyBorder="1"/>
    <x:xf numFmtId="1" fontId="2" fillId="6" borderId="1" xfId="0" applyNumberFormat="1" applyFont="1" applyFill="1" applyBorder="1"/>
    <x:xf numFmtId="0" fontId="2" fillId="0" borderId="0" xfId="0" applyFont="1"/>
    <x:xf numFmtId="0" fontId="2" fillId="0" borderId="0" xfId="0" applyFont="1" applyAlignment="1">
      <x:alignment wrapText="1"/>
    </x:xf>
    <x:xf numFmtId="0" fontId="0" fillId="0" borderId="0" xfId="0" applyAlignment="1">
      <x:alignment wrapText="1"/>
    </x:xf>
    <x:xf numFmtId="0" fontId="1" fillId="0" borderId="1" xfId="0" applyFont="1" applyBorder="1" applyAlignment="1">
      <x:alignment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0" fontId="1" fillId="0" borderId="3" xfId="0" applyNumberFormat="1" applyFont="1" applyFill="1" applyBorder="1"/>
    <x:xf numFmtId="0" fontId="2" fillId="4" borderId="3" xfId="0" applyNumberFormat="1" applyFont="1" applyFill="1" applyBorder="1"/>
    <x:xf numFmtId="1" fontId="1" fillId="0" borderId="3" xfId="0" applyNumberFormat="1" applyFont="1" applyFill="1" applyBorder="1"/>
    <x:xf numFmtId="1" fontId="2" fillId="5" borderId="3" xfId="0" applyNumberFormat="1" applyFont="1" applyFill="1" applyBorder="1"/>
    <x:xf numFmtId="164" fontId="1" fillId="0" borderId="3" xfId="0" applyNumberFormat="1" applyFont="1" applyFill="1" applyBorder="1"/>
    <x:xf numFmtId="164" fontId="2" fillId="4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0" borderId="3" xfId="0" applyNumberFormat="1" applyFont="1" applyFill="1" applyBorder="1"/>
    <x:xf numFmtId="0" fontId="2" fillId="6" borderId="3" xfId="0" applyNumberFormat="1" applyFont="1" applyFill="1" applyBorder="1"/>
    <x:xf numFmtId="1" fontId="2" fillId="6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3" fillId="7" borderId="0" xfId="0" applyNumberFormat="1" applyFont="1" applyFill="1" applyBorder="1"/>
    <x:xf numFmtId="0" fontId="3" fillId="7" borderId="2" xfId="0" applyNumberFormat="1" applyFont="1" applyFill="1" applyBorder="1"/>
    <x:xf numFmtId="0" fontId="4" fillId="7" borderId="0" xfId="0" applyNumberFormat="1" applyFont="1" applyFill="1" applyBorder="1"/>
    <x:xf numFmtId="0" fontId="5" fillId="0" borderId="0" xfId="0" applyNumberFormat="1" applyFont="1" applyFill="1" applyBorder="1"/>
    <x:xf numFmtId="0" fontId="4" fillId="7" borderId="2" xfId="0" applyNumberFormat="1" applyFont="1" applyFill="1" applyBorder="1"/>
    <x:xf numFmtId="0" fontId="5" fillId="0" borderId="2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6" xfId="0" applyNumberFormat="1" applyFont="1" applyFill="1" applyBorder="1"/>
    <x:xf numFmtId="0" fontId="5" fillId="8" borderId="17" xfId="0" applyNumberFormat="1" applyFont="1" applyFill="1" applyBorder="1"/>
    <x:xf numFmtId="0" fontId="5" fillId="8" borderId="19" xfId="0" applyNumberFormat="1" applyFont="1" applyFill="1" applyBorder="1"/>
    <x:xf numFmtId="0" fontId="5" fillId="8" borderId="20" xfId="0" applyNumberFormat="1" applyFont="1" applyFill="1" applyBorder="1"/>
    <x:xf numFmtId="0" fontId="6" fillId="8" borderId="7" xfId="0" applyNumberFormat="1" applyFont="1" applyFill="1" applyBorder="1"/>
    <x:xf numFmtId="0" fontId="6" fillId="8" borderId="10" xfId="0" applyNumberFormat="1" applyFont="1" applyFill="1" applyBorder="1"/>
    <x:xf numFmtId="0" fontId="6" fillId="8" borderId="16" xfId="0" applyNumberFormat="1" applyFont="1" applyFill="1" applyBorder="1"/>
    <x:xf numFmtId="0" fontId="6" fillId="8" borderId="19" xfId="0" applyNumberFormat="1" applyFont="1" applyFill="1" applyBorder="1"/>
    <x:xf numFmtId="0" fontId="2" fillId="9" borderId="1" xfId="0" applyNumberFormat="1" applyFont="1" applyFill="1" applyBorder="1"/>
    <x:xf numFmtId="1" fontId="2" fillId="9" borderId="1" xfId="0" applyNumberFormat="1" applyFont="1" applyFill="1" applyBorder="1"/>
    <x:xf numFmtId="0" fontId="2" fillId="9" borderId="3" xfId="0" applyNumberFormat="1" applyFont="1" applyFill="1" applyBorder="1"/>
    <x:xf numFmtId="1" fontId="2" fillId="9" borderId="3" xfId="0" applyNumberFormat="1" applyFont="1" applyFill="1" applyBorder="1"/>
    <x:xf numFmtId="0" fontId="2" fillId="10" borderId="1" xfId="0" applyNumberFormat="1" applyFont="1" applyFill="1" applyBorder="1"/>
    <x:xf numFmtId="1" fontId="2" fillId="10" borderId="1" xfId="0" applyNumberFormat="1" applyFont="1" applyFill="1" applyBorder="1"/>
    <x:xf numFmtId="0" fontId="2" fillId="10" borderId="3" xfId="0" applyNumberFormat="1" applyFont="1" applyFill="1" applyBorder="1"/>
    <x:xf numFmtId="1" fontId="2" fillId="1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64a1659e3455d" /><Relationship Type="http://schemas.openxmlformats.org/officeDocument/2006/relationships/theme" Target="/xl/theme/theme1.xml" Id="R2b7486acea4d43c8" /><Relationship Type="http://schemas.openxmlformats.org/officeDocument/2006/relationships/sharedStrings" Target="/xl/sharedStrings.xml" Id="R31c57901be4948ab" /><Relationship Type="http://schemas.openxmlformats.org/officeDocument/2006/relationships/worksheet" Target="/xl/worksheets/sheet1.xml" Id="Rc340375747934ec0" /><Relationship Type="http://schemas.openxmlformats.org/officeDocument/2006/relationships/worksheet" Target="/xl/worksheets/sheet2.xml" Id="Re5f96c27217642d0" /><Relationship Type="http://schemas.openxmlformats.org/officeDocument/2006/relationships/worksheet" Target="/xl/worksheets/sheet3.xml" Id="Rd365031f7f9e42df" /><Relationship Type="http://schemas.openxmlformats.org/officeDocument/2006/relationships/worksheet" Target="/xl/worksheets/sheet4.xml" Id="R63770f8e94ac4c01" /><Relationship Type="http://schemas.openxmlformats.org/officeDocument/2006/relationships/worksheet" Target="/xl/worksheets/sheet5.xml" Id="Rd35a5c14990b4917" /><Relationship Type="http://schemas.openxmlformats.org/officeDocument/2006/relationships/worksheet" Target="/xl/worksheets/sheet6.xml" Id="R71dea91a178842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22" customWidth="1"/>
    <x:col min="2" max="15" width="14" customWidth="1"/>
  </x:cols>
  <x:sheetData>
    <x:row r="1" ht="12.75" customHeight="1">
      <x:c r="A1" s="2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</x:row>
    <x:row r="2" ht="12.75" customHeight="1">
      <x:c r="A2" s="4" t="s">
        <x:v>15</x:v>
      </x:c>
      <x:c r="B2" s="14" t="s">
        <x:v>16</x:v>
      </x:c>
      <x:c r="C2" s="14" t="s">
        <x:v>16</x:v>
      </x:c>
      <x:c r="D2" s="14" t="s">
        <x:v>16</x:v>
      </x:c>
      <x:c r="E2" s="14" t="s">
        <x:v>17</x:v>
      </x:c>
      <x:c r="F2" s="14" t="s">
        <x:v>17</x:v>
      </x:c>
      <x:c r="G2" s="14" t="s">
        <x:v>16</x:v>
      </x:c>
      <x:c r="H2" s="14" t="s">
        <x:v>17</x:v>
      </x:c>
      <x:c r="I2" s="14" t="s">
        <x:v>18</x:v>
      </x:c>
      <x:c r="J2" s="14" t="s">
        <x:v>18</x:v>
      </x:c>
      <x:c r="K2" s="14" t="s">
        <x:v>19</x:v>
      </x:c>
      <x:c r="L2" s="14" t="s">
        <x:v>19</x:v>
      </x:c>
      <x:c r="M2" s="14" t="s">
        <x:v>19</x:v>
      </x:c>
      <x:c r="N2" s="14" t="s">
        <x:v>19</x:v>
      </x:c>
      <x:c r="O2" s="14" t="s">
        <x:v>20</x:v>
      </x:c>
    </x:row>
    <x:row r="3" ht="12.75" customHeight="1">
      <x:c r="A3" s="4" t="s">
        <x:v>21</x:v>
      </x:c>
      <x:c r="B3" s="14" t="s">
        <x:v>22</x:v>
      </x:c>
      <x:c r="C3" s="14" t="s">
        <x:v>17</x:v>
      </x:c>
      <x:c r="D3" s="14" t="s">
        <x:v>17</x:v>
      </x:c>
      <x:c r="E3" s="14" t="s">
        <x:v>16</x:v>
      </x:c>
      <x:c r="F3" s="14" t="s">
        <x:v>18</x:v>
      </x:c>
      <x:c r="G3" s="14" t="s">
        <x:v>17</x:v>
      </x:c>
      <x:c r="H3" s="14" t="s">
        <x:v>18</x:v>
      </x:c>
      <x:c r="I3" s="14" t="s">
        <x:v>19</x:v>
      </x:c>
      <x:c r="J3" s="14" t="s">
        <x:v>19</x:v>
      </x:c>
      <x:c r="K3" s="14" t="s">
        <x:v>20</x:v>
      </x:c>
      <x:c r="L3" s="14" t="s">
        <x:v>20</x:v>
      </x:c>
      <x:c r="M3" s="14" t="s">
        <x:v>20</x:v>
      </x:c>
      <x:c r="N3" s="14" t="s">
        <x:v>20</x:v>
      </x:c>
      <x:c r="O3" s="14" t="s">
        <x:v>19</x:v>
      </x:c>
    </x:row>
    <x:row r="4" ht="12.75" customHeight="1">
      <x:c r="A4" s="84" t="s">
        <x:v>23</x:v>
      </x:c>
      <x:c r="B4" s="85" t="n">
        <x:f>'Archetype OVR Debug'!K2</x:f>
        <x:v>90</x:v>
      </x:c>
      <x:c r="C4" s="85" t="n">
        <x:f>'Archetype OVR Debug'!K3</x:f>
        <x:v>86</x:v>
      </x:c>
      <x:c r="D4" s="85" t="n">
        <x:f>'Archetype OVR Debug'!K4</x:f>
        <x:v>90</x:v>
      </x:c>
      <x:c r="E4" s="85" t="n">
        <x:f>'Archetype OVR Debug'!K5</x:f>
        <x:v>77</x:v>
      </x:c>
      <x:c r="F4" s="85" t="n">
        <x:f>'Archetype OVR Debug'!K6</x:f>
        <x:v>73</x:v>
      </x:c>
      <x:c r="G4" s="85" t="n">
        <x:f>'Archetype OVR Debug'!K7</x:f>
        <x:v>78</x:v>
      </x:c>
      <x:c r="H4" s="85" t="n">
        <x:f>'Archetype OVR Debug'!K8</x:f>
        <x:v>94</x:v>
      </x:c>
      <x:c r="I4" s="85" t="n">
        <x:f>'Archetype OVR Debug'!K9</x:f>
        <x:v>85</x:v>
      </x:c>
      <x:c r="J4" s="85" t="n">
        <x:f>'Archetype OVR Debug'!K10</x:f>
        <x:v>86</x:v>
      </x:c>
      <x:c r="K4" s="85" t="n">
        <x:f>'Archetype OVR Debug'!K11</x:f>
        <x:v>63</x:v>
      </x:c>
      <x:c r="L4" s="85" t="n">
        <x:f>'Archetype OVR Debug'!K12</x:f>
        <x:v>57</x:v>
      </x:c>
      <x:c r="M4" s="85" t="n">
        <x:f>'Archetype OVR Debug'!K13</x:f>
        <x:v>79</x:v>
      </x:c>
      <x:c r="N4" s="85" t="n">
        <x:f>'Archetype OVR Debug'!K14</x:f>
        <x:v>78</x:v>
      </x:c>
      <x:c r="O4" s="85" t="n">
        <x:f>'Archetype OVR Debug'!K15</x:f>
        <x:v>78</x:v>
      </x:c>
    </x:row>
    <x:row r="5" ht="12.75" customHeight="1">
      <x:c r="A5" s="88" t="s">
        <x:v>24</x:v>
      </x:c>
      <x:c r="B5" s="89">
        <x:v>91</x:v>
      </x:c>
      <x:c r="C5" s="89">
        <x:v>84</x:v>
      </x:c>
      <x:c r="D5" s="89">
        <x:v>89</x:v>
      </x:c>
      <x:c r="E5" s="89">
        <x:v>76</x:v>
      </x:c>
      <x:c r="F5" s="89">
        <x:v>71</x:v>
      </x:c>
      <x:c r="G5" s="89">
        <x:v>77</x:v>
      </x:c>
      <x:c r="H5" s="89">
        <x:v>93</x:v>
      </x:c>
      <x:c r="I5" s="89">
        <x:v>84</x:v>
      </x:c>
      <x:c r="J5" s="89">
        <x:v>86</x:v>
      </x:c>
      <x:c r="K5" s="89">
        <x:v>62</x:v>
      </x:c>
      <x:c r="L5" s="89">
        <x:v>57</x:v>
      </x:c>
      <x:c r="M5" s="89">
        <x:v>78</x:v>
      </x:c>
      <x:c r="N5" s="89">
        <x:v>77</x:v>
      </x:c>
      <x:c r="O5" s="89">
        <x:v>78</x:v>
      </x:c>
    </x:row>
    <x:row r="6" ht="9.600000381469727" customHeight="1">
      <x:c r="A6" s="4" t="s">
        <x:v>25</x:v>
      </x:c>
      <x:c r="B6" s="7">
        <x:v>76</x:v>
      </x:c>
      <x:c r="C6" s="7">
        <x:v>76</x:v>
      </x:c>
      <x:c r="D6" s="7">
        <x:v>84</x:v>
      </x:c>
      <x:c r="E6" s="7">
        <x:v>70</x:v>
      </x:c>
      <x:c r="F6" s="7">
        <x:v>69</x:v>
      </x:c>
      <x:c r="G6" s="7">
        <x:v>71</x:v>
      </x:c>
      <x:c r="H6" s="7">
        <x:v>92</x:v>
      </x:c>
      <x:c r="I6" s="7">
        <x:v>88</x:v>
      </x:c>
      <x:c r="J6" s="7">
        <x:v>92</x:v>
      </x:c>
      <x:c r="K6" s="7">
        <x:v>63</x:v>
      </x:c>
      <x:c r="L6" s="7">
        <x:v>58</x:v>
      </x:c>
      <x:c r="M6" s="7">
        <x:v>90</x:v>
      </x:c>
      <x:c r="N6" s="7">
        <x:v>89</x:v>
      </x:c>
      <x:c r="O6" s="7">
        <x:v>84</x:v>
      </x:c>
    </x:row>
    <x:row r="7" ht="9.600000381469727" customHeight="1">
      <x:c r="A7" s="4" t="s">
        <x:v>26</x:v>
      </x:c>
      <x:c r="B7" s="7">
        <x:v>88</x:v>
      </x:c>
      <x:c r="C7" s="7">
        <x:v>82</x:v>
      </x:c>
      <x:c r="D7" s="7">
        <x:v>88</x:v>
      </x:c>
      <x:c r="E7" s="7">
        <x:v>78</x:v>
      </x:c>
      <x:c r="F7" s="7">
        <x:v>68</x:v>
      </x:c>
      <x:c r="G7" s="7">
        <x:v>80</x:v>
      </x:c>
      <x:c r="H7" s="7">
        <x:v>96</x:v>
      </x:c>
      <x:c r="I7" s="7">
        <x:v>88</x:v>
      </x:c>
      <x:c r="J7" s="7">
        <x:v>90</x:v>
      </x:c>
      <x:c r="K7" s="7">
        <x:v>60</x:v>
      </x:c>
      <x:c r="L7" s="7">
        <x:v>57</x:v>
      </x:c>
      <x:c r="M7" s="7">
        <x:v>84</x:v>
      </x:c>
      <x:c r="N7" s="7">
        <x:v>83</x:v>
      </x:c>
      <x:c r="O7" s="7">
        <x:v>78</x:v>
      </x:c>
    </x:row>
    <x:row r="8" ht="9.600000381469727" customHeight="1">
      <x:c r="A8" s="4" t="s">
        <x:v>27</x:v>
      </x:c>
      <x:c r="B8" s="7">
        <x:v>25</x:v>
      </x:c>
      <x:c r="C8" s="7">
        <x:v>25</x:v>
      </x:c>
      <x:c r="D8" s="7">
        <x:v>36</x:v>
      </x:c>
      <x:c r="E8" s="7">
        <x:v>55</x:v>
      </x:c>
      <x:c r="F8" s="7">
        <x:v>35</x:v>
      </x:c>
      <x:c r="G8" s="7">
        <x:v>38</x:v>
      </x:c>
      <x:c r="H8" s="7">
        <x:v>55</x:v>
      </x:c>
      <x:c r="I8" s="7">
        <x:v>76</x:v>
      </x:c>
      <x:c r="J8" s="7">
        <x:v>84</x:v>
      </x:c>
      <x:c r="K8" s="7">
        <x:v>50</x:v>
      </x:c>
      <x:c r="L8" s="7">
        <x:v>48</x:v>
      </x:c>
      <x:c r="M8" s="7">
        <x:v>78</x:v>
      </x:c>
      <x:c r="N8" s="7">
        <x:v>81</x:v>
      </x:c>
      <x:c r="O8" s="7">
        <x:v>73</x:v>
      </x:c>
    </x:row>
    <x:row r="9" ht="9.600000381469727" customHeight="1">
      <x:c r="A9" s="4" t="s">
        <x:v>28</x:v>
      </x:c>
      <x:c r="B9" s="7">
        <x:v>31</x:v>
      </x:c>
      <x:c r="C9" s="7">
        <x:v>25</x:v>
      </x:c>
      <x:c r="D9" s="7">
        <x:v>25</x:v>
      </x:c>
      <x:c r="E9" s="7">
        <x:v>30</x:v>
      </x:c>
      <x:c r="F9" s="7">
        <x:v>25</x:v>
      </x:c>
      <x:c r="G9" s="7">
        <x:v>25</x:v>
      </x:c>
      <x:c r="H9" s="7">
        <x:v>35</x:v>
      </x:c>
      <x:c r="I9" s="7">
        <x:v>66</x:v>
      </x:c>
      <x:c r="J9" s="7">
        <x:v>74</x:v>
      </x:c>
      <x:c r="K9" s="7">
        <x:v>45</x:v>
      </x:c>
      <x:c r="L9" s="7">
        <x:v>45</x:v>
      </x:c>
      <x:c r="M9" s="7">
        <x:v>79</x:v>
      </x:c>
      <x:c r="N9" s="7">
        <x:v>79</x:v>
      </x:c>
      <x:c r="O9" s="7">
        <x:v>76</x:v>
      </x:c>
    </x:row>
    <x:row r="10" ht="9.600000381469727" customHeight="1">
      <x:c r="A10" s="4" t="s">
        <x:v>29</x:v>
      </x:c>
      <x:c r="B10" s="7">
        <x:v>45</x:v>
      </x:c>
      <x:c r="C10" s="7">
        <x:v>45</x:v>
      </x:c>
      <x:c r="D10" s="7">
        <x:v>45</x:v>
      </x:c>
      <x:c r="E10" s="7">
        <x:v>40</x:v>
      </x:c>
      <x:c r="F10" s="7">
        <x:v>50</x:v>
      </x:c>
      <x:c r="G10" s="7">
        <x:v>40</x:v>
      </x:c>
      <x:c r="H10" s="7">
        <x:v>55</x:v>
      </x:c>
      <x:c r="I10" s="7">
        <x:v>76</x:v>
      </x:c>
      <x:c r="J10" s="7">
        <x:v>84</x:v>
      </x:c>
      <x:c r="K10" s="7">
        <x:v>55</x:v>
      </x:c>
      <x:c r="L10" s="7">
        <x:v>54</x:v>
      </x:c>
      <x:c r="M10" s="7">
        <x:v>82</x:v>
      </x:c>
      <x:c r="N10" s="7">
        <x:v>85</x:v>
      </x:c>
      <x:c r="O10" s="7">
        <x:v>78</x:v>
      </x:c>
    </x:row>
    <x:row r="11" ht="9.600000381469727" customHeight="1">
      <x:c r="A11" s="4" t="s">
        <x:v>30</x:v>
      </x:c>
      <x:c r="B11" s="7">
        <x:v>74</x:v>
      </x:c>
      <x:c r="C11" s="7">
        <x:v>86</x:v>
      </x:c>
      <x:c r="D11" s="7">
        <x:v>88</x:v>
      </x:c>
      <x:c r="E11" s="7">
        <x:v>69</x:v>
      </x:c>
      <x:c r="F11" s="7">
        <x:v>59</x:v>
      </x:c>
      <x:c r="G11" s="7">
        <x:v>70</x:v>
      </x:c>
      <x:c r="H11" s="7">
        <x:v>94</x:v>
      </x:c>
      <x:c r="I11" s="7">
        <x:v>82</x:v>
      </x:c>
      <x:c r="J11" s="7">
        <x:v>88</x:v>
      </x:c>
      <x:c r="K11" s="7">
        <x:v>50</x:v>
      </x:c>
      <x:c r="L11" s="7">
        <x:v>47</x:v>
      </x:c>
      <x:c r="M11" s="7">
        <x:v>83</x:v>
      </x:c>
      <x:c r="N11" s="7">
        <x:v>79</x:v>
      </x:c>
      <x:c r="O11" s="7">
        <x:v>70</x:v>
      </x:c>
    </x:row>
    <x:row r="12" ht="9.600000381469727" customHeight="1">
      <x:c r="A12" s="4" t="s">
        <x:v>31</x:v>
      </x:c>
      <x:c r="B12" s="7">
        <x:v>85</x:v>
      </x:c>
      <x:c r="C12" s="7">
        <x:v>86</x:v>
      </x:c>
      <x:c r="D12" s="7">
        <x:v>92</x:v>
      </x:c>
      <x:c r="E12" s="7">
        <x:v>78</x:v>
      </x:c>
      <x:c r="F12" s="7">
        <x:v>80</x:v>
      </x:c>
      <x:c r="G12" s="7">
        <x:v>80</x:v>
      </x:c>
      <x:c r="H12" s="7">
        <x:v>99</x:v>
      </x:c>
      <x:c r="I12" s="7">
        <x:v>87</x:v>
      </x:c>
      <x:c r="J12" s="7">
        <x:v>87</x:v>
      </x:c>
      <x:c r="K12" s="7">
        <x:v>62</x:v>
      </x:c>
      <x:c r="L12" s="7">
        <x:v>55</x:v>
      </x:c>
      <x:c r="M12" s="7">
        <x:v>62</x:v>
      </x:c>
      <x:c r="N12" s="7">
        <x:v>64</x:v>
      </x:c>
      <x:c r="O12" s="7">
        <x:v>70</x:v>
      </x:c>
    </x:row>
    <x:row r="13" ht="9.600000381469727" customHeight="1">
      <x:c r="A13" s="4" t="s">
        <x:v>32</x:v>
      </x:c>
      <x:c r="B13" s="7">
        <x:v>81</x:v>
      </x:c>
      <x:c r="C13" s="7">
        <x:v>87</x:v>
      </x:c>
      <x:c r="D13" s="7">
        <x:v>99</x:v>
      </x:c>
      <x:c r="E13" s="7">
        <x:v>84</x:v>
      </x:c>
      <x:c r="F13" s="7">
        <x:v>82</x:v>
      </x:c>
      <x:c r="G13" s="7">
        <x:v>82</x:v>
      </x:c>
      <x:c r="H13" s="7">
        <x:v>99</x:v>
      </x:c>
      <x:c r="I13" s="7">
        <x:v>92</x:v>
      </x:c>
      <x:c r="J13" s="7">
        <x:v>82</x:v>
      </x:c>
      <x:c r="K13" s="7">
        <x:v>73</x:v>
      </x:c>
      <x:c r="L13" s="7">
        <x:v>45</x:v>
      </x:c>
      <x:c r="M13" s="7">
        <x:v>30</x:v>
      </x:c>
      <x:c r="N13" s="7">
        <x:v>25</x:v>
      </x:c>
      <x:c r="O13" s="7">
        <x:v>74</x:v>
      </x:c>
    </x:row>
    <x:row r="14" ht="9.600000381469727" customHeight="1">
      <x:c r="A14" s="4" t="s">
        <x:v>33</x:v>
      </x:c>
      <x:c r="B14" s="7">
        <x:v>86</x:v>
      </x:c>
      <x:c r="C14" s="7">
        <x:v>90</x:v>
      </x:c>
      <x:c r="D14" s="7">
        <x:v>93</x:v>
      </x:c>
      <x:c r="E14" s="7">
        <x:v>79</x:v>
      </x:c>
      <x:c r="F14" s="7">
        <x:v>82</x:v>
      </x:c>
      <x:c r="G14" s="7">
        <x:v>77</x:v>
      </x:c>
      <x:c r="H14" s="7">
        <x:v>84</x:v>
      </x:c>
      <x:c r="I14" s="7">
        <x:v>77</x:v>
      </x:c>
      <x:c r="J14" s="7">
        <x:v>88</x:v>
      </x:c>
      <x:c r="K14" s="7">
        <x:v>50</x:v>
      </x:c>
      <x:c r="L14" s="7">
        <x:v>40</x:v>
      </x:c>
      <x:c r="M14" s="7">
        <x:v>58</x:v>
      </x:c>
      <x:c r="N14" s="7">
        <x:v>42</x:v>
      </x:c>
      <x:c r="O14" s="7">
        <x:v>68</x:v>
      </x:c>
    </x:row>
    <x:row r="15" ht="9.600000381469727" customHeight="1">
      <x:c r="A15" s="4" t="s">
        <x:v>34</x:v>
      </x:c>
      <x:c r="B15" s="7">
        <x:v>87</x:v>
      </x:c>
      <x:c r="C15" s="7">
        <x:v>90</x:v>
      </x:c>
      <x:c r="D15" s="7">
        <x:v>99</x:v>
      </x:c>
      <x:c r="E15" s="7">
        <x:v>79</x:v>
      </x:c>
      <x:c r="F15" s="7">
        <x:v>72</x:v>
      </x:c>
      <x:c r="G15" s="7">
        <x:v>81</x:v>
      </x:c>
      <x:c r="H15" s="7">
        <x:v>99</x:v>
      </x:c>
      <x:c r="I15" s="7">
        <x:v>87</x:v>
      </x:c>
      <x:c r="J15" s="7">
        <x:v>88</x:v>
      </x:c>
      <x:c r="K15" s="7">
        <x:v>56</x:v>
      </x:c>
      <x:c r="L15" s="7">
        <x:v>50</x:v>
      </x:c>
      <x:c r="M15" s="7">
        <x:v>66</x:v>
      </x:c>
      <x:c r="N15" s="7">
        <x:v>72</x:v>
      </x:c>
      <x:c r="O15" s="7">
        <x:v>65</x:v>
      </x:c>
    </x:row>
    <x:row r="16" ht="9.600000381469727" customHeight="1">
      <x:c r="A16" s="4" t="s">
        <x:v>35</x:v>
      </x:c>
      <x:c r="B16" s="7">
        <x:v>82</x:v>
      </x:c>
      <x:c r="C16" s="7">
        <x:v>86</x:v>
      </x:c>
      <x:c r="D16" s="7">
        <x:v>95</x:v>
      </x:c>
      <x:c r="E16" s="7">
        <x:v>79</x:v>
      </x:c>
      <x:c r="F16" s="7">
        <x:v>82</x:v>
      </x:c>
      <x:c r="G16" s="7">
        <x:v>79</x:v>
      </x:c>
      <x:c r="H16" s="7">
        <x:v>99</x:v>
      </x:c>
      <x:c r="I16" s="7">
        <x:v>89</x:v>
      </x:c>
      <x:c r="J16" s="7">
        <x:v>88</x:v>
      </x:c>
      <x:c r="K16" s="7">
        <x:v>64</x:v>
      </x:c>
      <x:c r="L16" s="7">
        <x:v>58</x:v>
      </x:c>
      <x:c r="M16" s="7">
        <x:v>76</x:v>
      </x:c>
      <x:c r="N16" s="7">
        <x:v>76</x:v>
      </x:c>
      <x:c r="O16" s="7">
        <x:v>75</x:v>
      </x:c>
    </x:row>
    <x:row r="17" ht="9.600000381469727" customHeight="1">
      <x:c r="A17" s="4" t="s">
        <x:v>36</x:v>
      </x:c>
      <x:c r="B17" s="7">
        <x:v>95</x:v>
      </x:c>
      <x:c r="C17" s="7">
        <x:v>94</x:v>
      </x:c>
      <x:c r="D17" s="7">
        <x:v>90</x:v>
      </x:c>
      <x:c r="E17" s="7">
        <x:v>76</x:v>
      </x:c>
      <x:c r="F17" s="7">
        <x:v>70</x:v>
      </x:c>
      <x:c r="G17" s="7">
        <x:v>78</x:v>
      </x:c>
      <x:c r="H17" s="7">
        <x:v>88</x:v>
      </x:c>
      <x:c r="I17" s="7">
        <x:v>78</x:v>
      </x:c>
      <x:c r="J17" s="7">
        <x:v>80</x:v>
      </x:c>
      <x:c r="K17" s="7">
        <x:v>58</x:v>
      </x:c>
      <x:c r="L17" s="7">
        <x:v>58</x:v>
      </x:c>
      <x:c r="M17" s="7">
        <x:v>72</x:v>
      </x:c>
      <x:c r="N17" s="7">
        <x:v>70</x:v>
      </x:c>
      <x:c r="O17" s="7">
        <x:v>68</x:v>
      </x:c>
    </x:row>
    <x:row r="18" ht="9.600000381469727" customHeight="1">
      <x:c r="A18" s="4" t="s">
        <x:v>37</x:v>
      </x:c>
      <x:c r="B18" s="7">
        <x:v>94</x:v>
      </x:c>
      <x:c r="C18" s="7">
        <x:v>92</x:v>
      </x:c>
      <x:c r="D18" s="7">
        <x:v>96</x:v>
      </x:c>
      <x:c r="E18" s="7">
        <x:v>81</x:v>
      </x:c>
      <x:c r="F18" s="7">
        <x:v>70</x:v>
      </x:c>
      <x:c r="G18" s="7">
        <x:v>83</x:v>
      </x:c>
      <x:c r="H18" s="7">
        <x:v>96</x:v>
      </x:c>
      <x:c r="I18" s="7">
        <x:v>80</x:v>
      </x:c>
      <x:c r="J18" s="7">
        <x:v>82</x:v>
      </x:c>
      <x:c r="K18" s="7">
        <x:v>55</x:v>
      </x:c>
      <x:c r="L18" s="7">
        <x:v>52</x:v>
      </x:c>
      <x:c r="M18" s="7">
        <x:v>68</x:v>
      </x:c>
      <x:c r="N18" s="7">
        <x:v>67</x:v>
      </x:c>
      <x:c r="O18" s="7">
        <x:v>64</x:v>
      </x:c>
    </x:row>
    <x:row r="19" ht="9.600000381469727" customHeight="1">
      <x:c r="A19" s="4" t="s">
        <x:v>38</x:v>
      </x:c>
      <x:c r="B19" s="7">
        <x:v>55</x:v>
      </x:c>
      <x:c r="C19" s="7">
        <x:v>42</x:v>
      </x:c>
      <x:c r="D19" s="7">
        <x:v>42</x:v>
      </x:c>
      <x:c r="E19" s="7">
        <x:v>50</x:v>
      </x:c>
      <x:c r="F19" s="7">
        <x:v>50</x:v>
      </x:c>
      <x:c r="G19" s="7">
        <x:v>38</x:v>
      </x:c>
      <x:c r="H19" s="7">
        <x:v>60</x:v>
      </x:c>
      <x:c r="I19" s="7">
        <x:v>78</x:v>
      </x:c>
      <x:c r="J19" s="7">
        <x:v>86</x:v>
      </x:c>
      <x:c r="K19" s="7">
        <x:v>65</x:v>
      </x:c>
      <x:c r="L19" s="7">
        <x:v>60</x:v>
      </x:c>
      <x:c r="M19" s="7">
        <x:v>82</x:v>
      </x:c>
      <x:c r="N19" s="7">
        <x:v>78</x:v>
      </x:c>
      <x:c r="O19" s="7">
        <x:v>80</x:v>
      </x:c>
    </x:row>
    <x:row r="20" ht="9.600000381469727" customHeight="1">
      <x:c r="A20" s="4" t="s">
        <x:v>39</x:v>
      </x:c>
      <x:c r="B20" s="7">
        <x:v>96</x:v>
      </x:c>
      <x:c r="C20" s="7">
        <x:v>76</x:v>
      </x:c>
      <x:c r="D20" s="7">
        <x:v>80</x:v>
      </x:c>
      <x:c r="E20" s="7">
        <x:v>71</x:v>
      </x:c>
      <x:c r="F20" s="7">
        <x:v>65</x:v>
      </x:c>
      <x:c r="G20" s="7">
        <x:v>73</x:v>
      </x:c>
      <x:c r="H20" s="7">
        <x:v>90</x:v>
      </x:c>
      <x:c r="I20" s="7">
        <x:v>89</x:v>
      </x:c>
      <x:c r="J20" s="7">
        <x:v>85</x:v>
      </x:c>
      <x:c r="K20" s="7">
        <x:v>62</x:v>
      </x:c>
      <x:c r="L20" s="7">
        <x:v>58</x:v>
      </x:c>
      <x:c r="M20" s="7">
        <x:v>68</x:v>
      </x:c>
      <x:c r="N20" s="7">
        <x:v>64</x:v>
      </x:c>
      <x:c r="O20" s="7">
        <x:v>65</x:v>
      </x:c>
    </x:row>
    <x:row r="21" ht="9.600000381469727" customHeight="1">
      <x:c r="A21" s="4" t="s">
        <x:v>40</x:v>
      </x:c>
      <x:c r="B21" s="7">
        <x:v>95</x:v>
      </x:c>
      <x:c r="C21" s="7">
        <x:v>72</x:v>
      </x:c>
      <x:c r="D21" s="7">
        <x:v>72</x:v>
      </x:c>
      <x:c r="E21" s="7">
        <x:v>72</x:v>
      </x:c>
      <x:c r="F21" s="7">
        <x:v>56</x:v>
      </x:c>
      <x:c r="G21" s="7">
        <x:v>72</x:v>
      </x:c>
      <x:c r="H21" s="7">
        <x:v>88</x:v>
      </x:c>
      <x:c r="I21" s="7">
        <x:v>71</x:v>
      </x:c>
      <x:c r="J21" s="7">
        <x:v>80</x:v>
      </x:c>
      <x:c r="K21" s="7">
        <x:v>55</x:v>
      </x:c>
      <x:c r="L21" s="7">
        <x:v>50</x:v>
      </x:c>
      <x:c r="M21" s="7">
        <x:v>62</x:v>
      </x:c>
      <x:c r="N21" s="7">
        <x:v>64</x:v>
      </x:c>
      <x:c r="O21" s="7">
        <x:v>70</x:v>
      </x:c>
    </x:row>
    <x:row r="22" ht="9.600000381469727" customHeight="1">
      <x:c r="A22" s="4" t="s">
        <x:v>41</x:v>
      </x:c>
      <x:c r="B22" s="7">
        <x:v>45</x:v>
      </x:c>
      <x:c r="C22" s="7">
        <x:v>28</x:v>
      </x:c>
      <x:c r="D22" s="7">
        <x:v>25</x:v>
      </x:c>
      <x:c r="E22" s="7">
        <x:v>32</x:v>
      </x:c>
      <x:c r="F22" s="7">
        <x:v>32</x:v>
      </x:c>
      <x:c r="G22" s="7">
        <x:v>27</x:v>
      </x:c>
      <x:c r="H22" s="7">
        <x:v>38</x:v>
      </x:c>
      <x:c r="I22" s="7">
        <x:v>62</x:v>
      </x:c>
      <x:c r="J22" s="7">
        <x:v>70</x:v>
      </x:c>
      <x:c r="K22" s="7">
        <x:v>65</x:v>
      </x:c>
      <x:c r="L22" s="7">
        <x:v>52</x:v>
      </x:c>
      <x:c r="M22" s="7">
        <x:v>76</x:v>
      </x:c>
      <x:c r="N22" s="7">
        <x:v>70</x:v>
      </x:c>
      <x:c r="O22" s="7">
        <x:v>82</x:v>
      </x:c>
    </x:row>
    <x:row r="23" ht="9.600000381469727" customHeight="1">
      <x:c r="A23" s="4" t="s">
        <x:v>42</x:v>
      </x:c>
      <x:c r="B23" s="7">
        <x:v>48</x:v>
      </x:c>
      <x:c r="C23" s="7">
        <x:v>32</x:v>
      </x:c>
      <x:c r="D23" s="7">
        <x:v>34</x:v>
      </x:c>
      <x:c r="E23" s="7">
        <x:v>40</x:v>
      </x:c>
      <x:c r="F23" s="7">
        <x:v>34</x:v>
      </x:c>
      <x:c r="G23" s="7">
        <x:v>34</x:v>
      </x:c>
      <x:c r="H23" s="7">
        <x:v>54</x:v>
      </x:c>
      <x:c r="I23" s="7">
        <x:v>76</x:v>
      </x:c>
      <x:c r="J23" s="7">
        <x:v>86</x:v>
      </x:c>
      <x:c r="K23" s="7">
        <x:v>62</x:v>
      </x:c>
      <x:c r="L23" s="7">
        <x:v>58</x:v>
      </x:c>
      <x:c r="M23" s="7">
        <x:v>85</x:v>
      </x:c>
      <x:c r="N23" s="7">
        <x:v>87</x:v>
      </x:c>
      <x:c r="O23" s="7">
        <x:v>78</x:v>
      </x:c>
    </x:row>
    <x:row r="24" ht="9.600000381469727" customHeight="1">
      <x:c r="A24" s="4" t="s">
        <x:v>43</x:v>
      </x:c>
      <x:c r="B24" s="7">
        <x:v>63</x:v>
      </x:c>
      <x:c r="C24" s="7">
        <x:v>47</x:v>
      </x:c>
      <x:c r="D24" s="7">
        <x:v>52</x:v>
      </x:c>
      <x:c r="E24" s="7">
        <x:v>50</x:v>
      </x:c>
      <x:c r="F24" s="7">
        <x:v>48</x:v>
      </x:c>
      <x:c r="G24" s="7">
        <x:v>51</x:v>
      </x:c>
      <x:c r="H24" s="7">
        <x:v>70</x:v>
      </x:c>
      <x:c r="I24" s="7">
        <x:v>82</x:v>
      </x:c>
      <x:c r="J24" s="7">
        <x:v>90</x:v>
      </x:c>
      <x:c r="K24" s="7">
        <x:v>65</x:v>
      </x:c>
      <x:c r="L24" s="7">
        <x:v>60</x:v>
      </x:c>
      <x:c r="M24" s="7">
        <x:v>86</x:v>
      </x:c>
      <x:c r="N24" s="7">
        <x:v>89</x:v>
      </x:c>
      <x:c r="O24" s="7">
        <x:v>82</x:v>
      </x:c>
    </x:row>
    <x:row r="25" ht="9.600000381469727" customHeight="1">
      <x:c r="A25" s="4" t="s">
        <x:v>44</x:v>
      </x:c>
      <x:c r="B25" s="7">
        <x:v>94</x:v>
      </x:c>
      <x:c r="C25" s="7">
        <x:v>77</x:v>
      </x:c>
      <x:c r="D25" s="7">
        <x:v>92</x:v>
      </x:c>
      <x:c r="E25" s="7">
        <x:v>79</x:v>
      </x:c>
      <x:c r="F25" s="7">
        <x:v>60</x:v>
      </x:c>
      <x:c r="G25" s="7">
        <x:v>86</x:v>
      </x:c>
      <x:c r="H25" s="7">
        <x:v>95</x:v>
      </x:c>
      <x:c r="I25" s="7">
        <x:v>81</x:v>
      </x:c>
      <x:c r="J25" s="7">
        <x:v>82</x:v>
      </x:c>
      <x:c r="K25" s="7">
        <x:v>62</x:v>
      </x:c>
      <x:c r="L25" s="7">
        <x:v>58</x:v>
      </x:c>
      <x:c r="M25" s="7">
        <x:v>68</x:v>
      </x:c>
      <x:c r="N25" s="7">
        <x:v>66</x:v>
      </x:c>
      <x:c r="O25" s="7">
        <x:v>66</x:v>
      </x:c>
    </x:row>
    <x:row r="26" ht="9.600000381469727" customHeight="1">
      <x:c r="A26" s="4" t="s">
        <x:v>45</x:v>
      </x:c>
      <x:c r="B26" s="7">
        <x:v>95</x:v>
      </x:c>
      <x:c r="C26" s="7">
        <x:v>76</x:v>
      </x:c>
      <x:c r="D26" s="7">
        <x:v>94</x:v>
      </x:c>
      <x:c r="E26" s="7">
        <x:v>81</x:v>
      </x:c>
      <x:c r="F26" s="7">
        <x:v>58</x:v>
      </x:c>
      <x:c r="G26" s="7">
        <x:v>89</x:v>
      </x:c>
      <x:c r="H26" s="7">
        <x:v>95</x:v>
      </x:c>
      <x:c r="I26" s="7">
        <x:v>79</x:v>
      </x:c>
      <x:c r="J26" s="7">
        <x:v>80</x:v>
      </x:c>
      <x:c r="K26" s="7">
        <x:v>60</x:v>
      </x:c>
      <x:c r="L26" s="7">
        <x:v>56</x:v>
      </x:c>
      <x:c r="M26" s="7">
        <x:v>66</x:v>
      </x:c>
      <x:c r="N26" s="7">
        <x:v>64</x:v>
      </x:c>
      <x:c r="O26" s="7">
        <x:v>64</x:v>
      </x:c>
    </x:row>
    <x:row r="27" ht="9.600000381469727" customHeight="1">
      <x:c r="A27" s="4" t="s">
        <x:v>46</x:v>
      </x:c>
      <x:c r="B27" s="7">
        <x:v>72</x:v>
      </x:c>
      <x:c r="C27" s="7">
        <x:v>60</x:v>
      </x:c>
      <x:c r="D27" s="7">
        <x:v>58</x:v>
      </x:c>
      <x:c r="E27" s="7">
        <x:v>63</x:v>
      </x:c>
      <x:c r="F27" s="7">
        <x:v>62</x:v>
      </x:c>
      <x:c r="G27" s="7">
        <x:v>56</x:v>
      </x:c>
      <x:c r="H27" s="7">
        <x:v>80</x:v>
      </x:c>
      <x:c r="I27" s="7">
        <x:v>82</x:v>
      </x:c>
      <x:c r="J27" s="7">
        <x:v>88</x:v>
      </x:c>
      <x:c r="K27" s="7">
        <x:v>67</x:v>
      </x:c>
      <x:c r="L27" s="7">
        <x:v>64</x:v>
      </x:c>
      <x:c r="M27" s="7">
        <x:v>84</x:v>
      </x:c>
      <x:c r="N27" s="7">
        <x:v>85</x:v>
      </x:c>
      <x:c r="O27" s="7">
        <x:v>78</x:v>
      </x:c>
    </x:row>
    <x:row r="28" ht="9.600000381469727" customHeight="1">
      <x:c r="A28" s="4" t="s">
        <x:v>47</x:v>
      </x:c>
      <x:c r="B28" s="7">
        <x:v>74</x:v>
      </x:c>
      <x:c r="C28" s="7">
        <x:v>48</x:v>
      </x:c>
      <x:c r="D28" s="7">
        <x:v>62</x:v>
      </x:c>
      <x:c r="E28" s="7">
        <x:v>66</x:v>
      </x:c>
      <x:c r="F28" s="7">
        <x:v>47</x:v>
      </x:c>
      <x:c r="G28" s="7">
        <x:v>63</x:v>
      </x:c>
      <x:c r="H28" s="7">
        <x:v>76</x:v>
      </x:c>
      <x:c r="I28" s="7">
        <x:v>76</x:v>
      </x:c>
      <x:c r="J28" s="7">
        <x:v>84</x:v>
      </x:c>
      <x:c r="K28" s="7">
        <x:v>58</x:v>
      </x:c>
      <x:c r="L28" s="7">
        <x:v>54</x:v>
      </x:c>
      <x:c r="M28" s="7">
        <x:v>75</x:v>
      </x:c>
      <x:c r="N28" s="7">
        <x:v>76</x:v>
      </x:c>
      <x:c r="O28" s="7">
        <x:v>70</x:v>
      </x:c>
    </x:row>
    <x:row r="29" ht="9.600000381469727" customHeight="1">
      <x:c r="A29" s="4" t="s">
        <x:v>48</x:v>
      </x:c>
      <x:c r="B29" s="7">
        <x:v>96</x:v>
      </x:c>
      <x:c r="C29" s="7">
        <x:v>84</x:v>
      </x:c>
      <x:c r="D29" s="7">
        <x:v>90</x:v>
      </x:c>
      <x:c r="E29" s="7">
        <x:v>74</x:v>
      </x:c>
      <x:c r="F29" s="7">
        <x:v>72</x:v>
      </x:c>
      <x:c r="G29" s="7">
        <x:v>79</x:v>
      </x:c>
      <x:c r="H29" s="7">
        <x:v>98</x:v>
      </x:c>
      <x:c r="I29" s="7">
        <x:v>85</x:v>
      </x:c>
      <x:c r="J29" s="7">
        <x:v>86</x:v>
      </x:c>
      <x:c r="K29" s="7">
        <x:v>63</x:v>
      </x:c>
      <x:c r="L29" s="7">
        <x:v>58</x:v>
      </x:c>
      <x:c r="M29" s="7">
        <x:v>76</x:v>
      </x:c>
      <x:c r="N29" s="7">
        <x:v>74</x:v>
      </x:c>
      <x:c r="O29" s="7">
        <x:v>78</x:v>
      </x:c>
    </x:row>
    <x:row r="30" ht="9.600000381469727" customHeight="1">
      <x:c r="A30" s="4" t="s">
        <x:v>49</x:v>
      </x:c>
      <x:c r="B30" s="7">
        <x:v>96</x:v>
      </x:c>
      <x:c r="C30" s="7">
        <x:v>96</x:v>
      </x:c>
      <x:c r="D30" s="7">
        <x:v>94</x:v>
      </x:c>
      <x:c r="E30" s="7">
        <x:v>77</x:v>
      </x:c>
      <x:c r="F30" s="7">
        <x:v>86</x:v>
      </x:c>
      <x:c r="G30" s="7">
        <x:v>78</x:v>
      </x:c>
      <x:c r="H30" s="7">
        <x:v>99</x:v>
      </x:c>
      <x:c r="I30" s="7">
        <x:v>88</x:v>
      </x:c>
      <x:c r="J30" s="7">
        <x:v>89</x:v>
      </x:c>
      <x:c r="K30" s="7">
        <x:v>66</x:v>
      </x:c>
      <x:c r="L30" s="7">
        <x:v>62</x:v>
      </x:c>
      <x:c r="M30" s="7">
        <x:v>84</x:v>
      </x:c>
      <x:c r="N30" s="7">
        <x:v>85</x:v>
      </x:c>
      <x:c r="O30" s="7">
        <x:v>78</x:v>
      </x:c>
    </x:row>
    <x:row r="31" ht="9.600000381469727" customHeight="1">
      <x:c r="A31" s="4" t="s">
        <x:v>50</x:v>
      </x:c>
      <x:c r="B31" s="7">
        <x:v>98</x:v>
      </x:c>
      <x:c r="C31" s="7">
        <x:v>86</x:v>
      </x:c>
      <x:c r="D31" s="7">
        <x:v>80</x:v>
      </x:c>
      <x:c r="E31" s="7">
        <x:v>73</x:v>
      </x:c>
      <x:c r="F31" s="7">
        <x:v>73</x:v>
      </x:c>
      <x:c r="G31" s="7">
        <x:v>72</x:v>
      </x:c>
      <x:c r="H31" s="7">
        <x:v>90</x:v>
      </x:c>
      <x:c r="I31" s="7">
        <x:v>85</x:v>
      </x:c>
      <x:c r="J31" s="7">
        <x:v>88</x:v>
      </x:c>
      <x:c r="K31" s="7">
        <x:v>66</x:v>
      </x:c>
      <x:c r="L31" s="7">
        <x:v>64</x:v>
      </x:c>
      <x:c r="M31" s="7">
        <x:v>82</x:v>
      </x:c>
      <x:c r="N31" s="7">
        <x:v>79</x:v>
      </x:c>
      <x:c r="O31" s="7">
        <x:v>82</x:v>
      </x:c>
    </x:row>
    <x:row r="32" ht="9.600000381469727" customHeight="1">
      <x:c r="A32" s="4" t="s">
        <x:v>51</x:v>
      </x:c>
      <x:c r="B32" s="7">
        <x:v>90</x:v>
      </x:c>
      <x:c r="C32" s="7">
        <x:v>96</x:v>
      </x:c>
      <x:c r="D32" s="7">
        <x:v>94</x:v>
      </x:c>
      <x:c r="E32" s="7">
        <x:v>76</x:v>
      </x:c>
      <x:c r="F32" s="7">
        <x:v>86</x:v>
      </x:c>
      <x:c r="G32" s="7">
        <x:v>77</x:v>
      </x:c>
      <x:c r="H32" s="7">
        <x:v>98</x:v>
      </x:c>
      <x:c r="I32" s="7">
        <x:v>82</x:v>
      </x:c>
      <x:c r="J32" s="7">
        <x:v>84</x:v>
      </x:c>
      <x:c r="K32" s="7">
        <x:v>60</x:v>
      </x:c>
      <x:c r="L32" s="7">
        <x:v>55</x:v>
      </x:c>
      <x:c r="M32" s="7">
        <x:v>76</x:v>
      </x:c>
      <x:c r="N32" s="7">
        <x:v>78</x:v>
      </x:c>
      <x:c r="O32" s="7">
        <x:v>74</x:v>
      </x:c>
    </x:row>
    <x:row r="33" ht="9.600000381469727" customHeight="1">
      <x:c r="A33" s="4" t="s">
        <x:v>52</x:v>
      </x:c>
      <x:c r="B33" s="7">
        <x:v>88</x:v>
      </x:c>
      <x:c r="C33" s="7">
        <x:v>84</x:v>
      </x:c>
      <x:c r="D33" s="7">
        <x:v>85</x:v>
      </x:c>
      <x:c r="E33" s="7">
        <x:v>77</x:v>
      </x:c>
      <x:c r="F33" s="7">
        <x:v>77</x:v>
      </x:c>
      <x:c r="G33" s="7">
        <x:v>81</x:v>
      </x:c>
      <x:c r="H33" s="7">
        <x:v>90</x:v>
      </x:c>
      <x:c r="I33" s="7">
        <x:v>88</x:v>
      </x:c>
      <x:c r="J33" s="7">
        <x:v>90</x:v>
      </x:c>
      <x:c r="K33" s="7">
        <x:v>71</x:v>
      </x:c>
      <x:c r="L33" s="7">
        <x:v>68</x:v>
      </x:c>
      <x:c r="M33" s="7">
        <x:v>88</x:v>
      </x:c>
      <x:c r="N33" s="7">
        <x:v>85</x:v>
      </x:c>
      <x:c r="O33" s="7">
        <x:v>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2" customWidth="1"/>
    <x:col min="2" max="6" width="12" customWidth="1"/>
    <x:col min="8" max="8" width="70" customWidth="1"/>
  </x:cols>
  <x:sheetData>
    <x:row r="1" ht="11.550000190734863" customHeight="1">
      <x:c r="A1" s="3" t="s">
        <x:v>0</x:v>
      </x:c>
      <x:c r="B1" s="3" t="s">
        <x:v>16</x:v>
      </x:c>
      <x:c r="C1" s="3" t="s">
        <x:v>17</x:v>
      </x:c>
      <x:c r="D1" s="3" t="s">
        <x:v>18</x:v>
      </x:c>
      <x:c r="E1" s="3" t="s">
        <x:v>19</x:v>
      </x:c>
      <x:c r="F1" s="3" t="s">
        <x:v>20</x:v>
      </x:c>
      <x:c r="G1" s="17"/>
      <x:c r="H1" s="18" t="s">
        <x:v>53</x:v>
      </x:c>
    </x:row>
    <x:row r="2" ht="11.550000190734863" customHeight="1">
      <x:c r="A2" s="5" t="s">
        <x:v>25</x:v>
      </x:c>
      <x:c r="B2" s="9">
        <x:v>1.4999999999999999E-2</x:v>
      </x:c>
      <x:c r="C2" s="9">
        <x:v>1.4999999999999999E-2</x:v>
      </x:c>
      <x:c r="D2" s="9">
        <x:v>0.02</x:v>
      </x:c>
      <x:c r="E2" s="9">
        <x:v>7.0000000000000007E-2</x:v>
      </x:c>
      <x:c r="F2" s="9">
        <x:v>0.08</x:v>
      </x:c>
      <x:c r="G2" s="1"/>
      <x:c r="H2" s="11" t="s">
        <x:v>54</x:v>
      </x:c>
    </x:row>
    <x:row r="3" ht="11.550000190734863" customHeight="1">
      <x:c r="A3" s="5" t="s">
        <x:v>26</x:v>
      </x:c>
      <x:c r="B3" s="9">
        <x:v>5.5E-2</x:v>
      </x:c>
      <x:c r="C3" s="9">
        <x:v>7.0000000000000007E-2</x:v>
      </x:c>
      <x:c r="D3" s="9">
        <x:v>5.5E-2</x:v>
      </x:c>
      <x:c r="E3" s="9">
        <x:v>0.04</x:v>
      </x:c>
      <x:c r="F3" s="9">
        <x:v>0.01</x:v>
      </x:c>
      <x:c r="G3" s="1"/>
      <x:c r="H3" s="11" t="s">
        <x:v>55</x:v>
      </x:c>
    </x:row>
    <x:row r="4" ht="11.550000190734863" customHeight="1">
      <x:c r="A4" s="5" t="s">
        <x:v>27</x:v>
      </x:c>
      <x:c r="B4" s="9">
        <x:v>5.0000000000000001E-3</x:v>
      </x:c>
      <x:c r="C4" s="9">
        <x:v>5.0000000000000001E-3</x:v>
      </x:c>
      <x:c r="D4" s="9">
        <x:v>1.4999999999999999E-2</x:v>
      </x:c>
      <x:c r="E4" s="9">
        <x:v>1.4999999999999999E-2</x:v>
      </x:c>
      <x:c r="F4" s="9">
        <x:v>0.01</x:v>
      </x:c>
      <x:c r="G4" s="1"/>
      <x:c r="H4" s="11" t="s">
        <x:v>56</x:v>
      </x:c>
    </x:row>
    <x:row r="5" ht="11.550000190734863" customHeight="1">
      <x:c r="A5" s="5" t="s">
        <x:v>28</x:v>
      </x:c>
      <x:c r="B5" s="9">
        <x:v>2E-3</x:v>
      </x:c>
      <x:c r="C5" s="9">
        <x:v>2E-3</x:v>
      </x:c>
      <x:c r="D5" s="9">
        <x:v>7.0000000000000001E-3</x:v>
      </x:c>
      <x:c r="E5" s="9">
        <x:v>0.04</x:v>
      </x:c>
      <x:c r="F5" s="9">
        <x:v>5.5E-2</x:v>
      </x:c>
      <x:c r="G5" s="1"/>
      <x:c r="H5" s="11" t="s">
        <x:v>57</x:v>
      </x:c>
    </x:row>
    <x:row r="6" ht="11.550000190734863" customHeight="1">
      <x:c r="A6" s="5" t="s">
        <x:v>29</x:v>
      </x:c>
      <x:c r="B6" s="9">
        <x:v>2E-3</x:v>
      </x:c>
      <x:c r="C6" s="9">
        <x:v>3.0000000000000001E-3</x:v>
      </x:c>
      <x:c r="D6" s="9">
        <x:v>8.0000000000000002E-3</x:v>
      </x:c>
      <x:c r="E6" s="9">
        <x:v>4.4999999999999998E-2</x:v>
      </x:c>
      <x:c r="F6" s="9">
        <x:v>0.05</x:v>
      </x:c>
      <x:c r="G6" s="1"/>
      <x:c r="H6" s="1"/>
    </x:row>
    <x:row r="7" ht="11.550000190734863" customHeight="1">
      <x:c r="A7" s="5" t="s">
        <x:v>30</x:v>
      </x:c>
      <x:c r="B7" s="9">
        <x:v>0.04</x:v>
      </x:c>
      <x:c r="C7" s="9">
        <x:v>0.05</x:v>
      </x:c>
      <x:c r="D7" s="9">
        <x:v>0.04</x:v>
      </x:c>
      <x:c r="E7" s="9">
        <x:v>0.04</x:v>
      </x:c>
      <x:c r="F7" s="9">
        <x:v>4.4999999999999998E-2</x:v>
      </x:c>
      <x:c r="G7" s="1"/>
      <x:c r="H7" s="1"/>
    </x:row>
    <x:row r="8" ht="11.550000190734863" customHeight="1">
      <x:c r="A8" s="5" t="s">
        <x:v>31</x:v>
      </x:c>
      <x:c r="B8" s="9">
        <x:v>0.03</x:v>
      </x:c>
      <x:c r="C8" s="9">
        <x:v>6.5000000000000002E-2</x:v>
      </x:c>
      <x:c r="D8" s="9">
        <x:v>0.05</x:v>
      </x:c>
      <x:c r="E8" s="9">
        <x:v>4.4999999999999998E-2</x:v>
      </x:c>
      <x:c r="F8" s="9">
        <x:v>0.02</x:v>
      </x:c>
      <x:c r="G8" s="1"/>
      <x:c r="H8" s="1"/>
    </x:row>
    <x:row r="9" ht="11.550000190734863" customHeight="1">
      <x:c r="A9" s="5" t="s">
        <x:v>32</x:v>
      </x:c>
      <x:c r="B9" s="9">
        <x:v>6.5000000000000002E-2</x:v>
      </x:c>
      <x:c r="C9" s="9">
        <x:v>0.11</x:v>
      </x:c>
      <x:c r="D9" s="9">
        <x:v>7.4999999999999997E-2</x:v>
      </x:c>
      <x:c r="E9" s="9">
        <x:v>0.04</x:v>
      </x:c>
      <x:c r="F9" s="9">
        <x:v>1.4999999999999999E-2</x:v>
      </x:c>
      <x:c r="G9" s="1"/>
      <x:c r="H9" s="1"/>
    </x:row>
    <x:row r="10" ht="11.550000190734863" customHeight="1">
      <x:c r="A10" s="5" t="s">
        <x:v>33</x:v>
      </x:c>
      <x:c r="B10" s="9">
        <x:v>0.03</x:v>
      </x:c>
      <x:c r="C10" s="9">
        <x:v>0.04</x:v>
      </x:c>
      <x:c r="D10" s="9">
        <x:v>0.03</x:v>
      </x:c>
      <x:c r="E10" s="9">
        <x:v>0.02</x:v>
      </x:c>
      <x:c r="F10" s="9">
        <x:v>0.02</x:v>
      </x:c>
      <x:c r="G10" s="1"/>
      <x:c r="H10" s="1"/>
    </x:row>
    <x:row r="11" ht="11.550000190734863" customHeight="1">
      <x:c r="A11" s="5" t="s">
        <x:v>34</x:v>
      </x:c>
      <x:c r="B11" s="9">
        <x:v>7.0000000000000007E-2</x:v>
      </x:c>
      <x:c r="C11" s="9">
        <x:v>0.09</x:v>
      </x:c>
      <x:c r="D11" s="9">
        <x:v>5.5E-2</x:v>
      </x:c>
      <x:c r="E11" s="9">
        <x:v>0.01</x:v>
      </x:c>
      <x:c r="F11" s="9">
        <x:v>5.0000000000000001E-3</x:v>
      </x:c>
      <x:c r="G11" s="1"/>
      <x:c r="H11" s="1"/>
    </x:row>
    <x:row r="12" ht="11.550000190734863" customHeight="1">
      <x:c r="A12" s="5" t="s">
        <x:v>35</x:v>
      </x:c>
      <x:c r="B12" s="9">
        <x:v>1.4999999999999999E-2</x:v>
      </x:c>
      <x:c r="C12" s="9">
        <x:v>0.06</x:v>
      </x:c>
      <x:c r="D12" s="9">
        <x:v>5.5E-2</x:v>
      </x:c>
      <x:c r="E12" s="9">
        <x:v>1.4999999999999999E-2</x:v>
      </x:c>
      <x:c r="F12" s="9">
        <x:v>0.01</x:v>
      </x:c>
      <x:c r="G12" s="1"/>
      <x:c r="H12" s="1"/>
    </x:row>
    <x:row r="13" ht="11.550000190734863" customHeight="1">
      <x:c r="A13" s="5" t="s">
        <x:v>36</x:v>
      </x:c>
      <x:c r="B13" s="9">
        <x:v>0.115</x:v>
      </x:c>
      <x:c r="C13" s="9">
        <x:v>4.4999999999999998E-2</x:v>
      </x:c>
      <x:c r="D13" s="9">
        <x:v>2.5000000000000001E-2</x:v>
      </x:c>
      <x:c r="E13" s="9">
        <x:v>1.4999999999999999E-2</x:v>
      </x:c>
      <x:c r="F13" s="9">
        <x:v>1.4999999999999999E-2</x:v>
      </x:c>
      <x:c r="G13" s="1"/>
      <x:c r="H13" s="1"/>
    </x:row>
    <x:row r="14" ht="11.550000190734863" customHeight="1">
      <x:c r="A14" s="5" t="s">
        <x:v>37</x:v>
      </x:c>
      <x:c r="B14" s="9">
        <x:v>0.12</x:v>
      </x:c>
      <x:c r="C14" s="9">
        <x:v>0.06</x:v>
      </x:c>
      <x:c r="D14" s="9">
        <x:v>0.04</x:v>
      </x:c>
      <x:c r="E14" s="9">
        <x:v>0.01</x:v>
      </x:c>
      <x:c r="F14" s="9">
        <x:v>5.0000000000000001E-3</x:v>
      </x:c>
      <x:c r="G14" s="1"/>
      <x:c r="H14" s="1"/>
    </x:row>
    <x:row r="15" ht="11.550000190734863" customHeight="1">
      <x:c r="A15" s="5" t="s">
        <x:v>38</x:v>
      </x:c>
      <x:c r="B15" s="9">
        <x:v>8.0000000000000002E-3</x:v>
      </x:c>
      <x:c r="C15" s="9">
        <x:v>0.01</x:v>
      </x:c>
      <x:c r="D15" s="9">
        <x:v>0.02</x:v>
      </x:c>
      <x:c r="E15" s="9">
        <x:v>0.08</x:v>
      </x:c>
      <x:c r="F15" s="9">
        <x:v>0.11</x:v>
      </x:c>
      <x:c r="G15" s="1"/>
      <x:c r="H15" s="1"/>
    </x:row>
    <x:row r="16" ht="11.550000190734863" customHeight="1">
      <x:c r="A16" s="5" t="s">
        <x:v>39</x:v>
      </x:c>
      <x:c r="B16" s="9">
        <x:v>5.5E-2</x:v>
      </x:c>
      <x:c r="C16" s="9">
        <x:v>0.06</x:v>
      </x:c>
      <x:c r="D16" s="9">
        <x:v>7.4999999999999997E-2</x:v>
      </x:c>
      <x:c r="E16" s="9">
        <x:v>0.03</x:v>
      </x:c>
      <x:c r="F16" s="9">
        <x:v>1.4999999999999999E-2</x:v>
      </x:c>
      <x:c r="G16" s="1"/>
      <x:c r="H16" s="1"/>
    </x:row>
    <x:row r="17" ht="11.550000190734863" customHeight="1">
      <x:c r="A17" s="5" t="s">
        <x:v>40</x:v>
      </x:c>
      <x:c r="B17" s="9">
        <x:v>0.04</x:v>
      </x:c>
      <x:c r="C17" s="9">
        <x:v>3.5000000000000003E-2</x:v>
      </x:c>
      <x:c r="D17" s="9">
        <x:v>3.5000000000000003E-2</x:v>
      </x:c>
      <x:c r="E17" s="9">
        <x:v>0.01</x:v>
      </x:c>
      <x:c r="F17" s="9">
        <x:v>5.0000000000000001E-3</x:v>
      </x:c>
      <x:c r="G17" s="1"/>
      <x:c r="H17" s="1"/>
    </x:row>
    <x:row r="18" ht="11.550000190734863" customHeight="1">
      <x:c r="A18" s="5" t="s">
        <x:v>41</x:v>
      </x:c>
      <x:c r="B18" s="9">
        <x:v>3.0000000000000001E-3</x:v>
      </x:c>
      <x:c r="C18" s="9">
        <x:v>5.0000000000000001E-3</x:v>
      </x:c>
      <x:c r="D18" s="9">
        <x:v>0.01</x:v>
      </x:c>
      <x:c r="E18" s="9">
        <x:v>0.04</x:v>
      </x:c>
      <x:c r="F18" s="9">
        <x:v>7.4999999999999997E-2</x:v>
      </x:c>
      <x:c r="G18" s="1"/>
      <x:c r="H18" s="1"/>
    </x:row>
    <x:row r="19" ht="11.550000190734863" customHeight="1">
      <x:c r="A19" s="5" t="s">
        <x:v>42</x:v>
      </x:c>
      <x:c r="B19" s="9">
        <x:v>5.0000000000000001E-3</x:v>
      </x:c>
      <x:c r="C19" s="9">
        <x:v>5.0000000000000001E-3</x:v>
      </x:c>
      <x:c r="D19" s="9">
        <x:v>1.4999999999999999E-2</x:v>
      </x:c>
      <x:c r="E19" s="9">
        <x:v>0.06</x:v>
      </x:c>
      <x:c r="F19" s="9">
        <x:v>6.5000000000000002E-2</x:v>
      </x:c>
      <x:c r="G19" s="1"/>
      <x:c r="H19" s="1"/>
    </x:row>
    <x:row r="20" ht="11.550000190734863" customHeight="1">
      <x:c r="A20" s="5" t="s">
        <x:v>43</x:v>
      </x:c>
      <x:c r="B20" s="9">
        <x:v>1.2E-2</x:v>
      </x:c>
      <x:c r="C20" s="9">
        <x:v>1.4999999999999999E-2</x:v>
      </x:c>
      <x:c r="D20" s="9">
        <x:v>0.04</x:v>
      </x:c>
      <x:c r="E20" s="9">
        <x:v>7.4999999999999997E-2</x:v>
      </x:c>
      <x:c r="F20" s="9">
        <x:v>0.1</x:v>
      </x:c>
      <x:c r="G20" s="1"/>
      <x:c r="H20" s="1"/>
    </x:row>
    <x:row r="21" ht="11.550000190734863" customHeight="1">
      <x:c r="A21" s="5" t="s">
        <x:v>44</x:v>
      </x:c>
      <x:c r="B21" s="9">
        <x:v>6.5000000000000002E-2</x:v>
      </x:c>
      <x:c r="C21" s="9">
        <x:v>0.04</x:v>
      </x:c>
      <x:c r="D21" s="9">
        <x:v>4.4999999999999998E-2</x:v>
      </x:c>
      <x:c r="E21" s="9">
        <x:v>0.02</x:v>
      </x:c>
      <x:c r="F21" s="9">
        <x:v>1.4999999999999999E-2</x:v>
      </x:c>
      <x:c r="G21" s="1"/>
      <x:c r="H21" s="1"/>
    </x:row>
    <x:row r="22" ht="11.550000190734863" customHeight="1">
      <x:c r="A22" s="5" t="s">
        <x:v>45</x:v>
      </x:c>
      <x:c r="B22" s="9">
        <x:v>5.5E-2</x:v>
      </x:c>
      <x:c r="C22" s="9">
        <x:v>3.5000000000000003E-2</x:v>
      </x:c>
      <x:c r="D22" s="9">
        <x:v>0.04</x:v>
      </x:c>
      <x:c r="E22" s="9">
        <x:v>1.4999999999999999E-2</x:v>
      </x:c>
      <x:c r="F22" s="9">
        <x:v>0.01</x:v>
      </x:c>
      <x:c r="G22" s="1"/>
      <x:c r="H22" s="1"/>
    </x:row>
    <x:row r="23" ht="11.550000190734863" customHeight="1">
      <x:c r="A23" s="5" t="s">
        <x:v>46</x:v>
      </x:c>
      <x:c r="B23" s="9">
        <x:v>1.2E-2</x:v>
      </x:c>
      <x:c r="C23" s="9">
        <x:v>1.4999999999999999E-2</x:v>
      </x:c>
      <x:c r="D23" s="9">
        <x:v>4.4999999999999998E-2</x:v>
      </x:c>
      <x:c r="E23" s="9">
        <x:v>6.5000000000000002E-2</x:v>
      </x:c>
      <x:c r="F23" s="9">
        <x:v>7.4999999999999997E-2</x:v>
      </x:c>
      <x:c r="G23" s="1"/>
      <x:c r="H23" s="1"/>
    </x:row>
    <x:row r="24" ht="11.550000190734863" customHeight="1">
      <x:c r="A24" s="5" t="s">
        <x:v>47</x:v>
      </x:c>
      <x:c r="B24" s="9">
        <x:v>8.0000000000000002E-3</x:v>
      </x:c>
      <x:c r="C24" s="9">
        <x:v>1.4999999999999999E-2</x:v>
      </x:c>
      <x:c r="D24" s="9">
        <x:v>2.5000000000000001E-2</x:v>
      </x:c>
      <x:c r="E24" s="9">
        <x:v>3.5000000000000003E-2</x:v>
      </x:c>
      <x:c r="F24" s="9">
        <x:v>3.5000000000000003E-2</x:v>
      </x:c>
      <x:c r="G24" s="1"/>
      <x:c r="H24" s="1"/>
    </x:row>
    <x:row r="25" ht="11.550000190734863" customHeight="1">
      <x:c r="A25" s="5" t="s">
        <x:v>48</x:v>
      </x:c>
      <x:c r="B25" s="9">
        <x:v>2.5000000000000001E-2</x:v>
      </x:c>
      <x:c r="C25" s="9">
        <x:v>0.02</x:v>
      </x:c>
      <x:c r="D25" s="9">
        <x:v>2.5000000000000001E-2</x:v>
      </x:c>
      <x:c r="E25" s="9">
        <x:v>2.5000000000000001E-2</x:v>
      </x:c>
      <x:c r="F25" s="9">
        <x:v>0.02</x:v>
      </x:c>
      <x:c r="G25" s="1"/>
      <x:c r="H25" s="1"/>
    </x:row>
    <x:row r="26" ht="11.550000190734863" customHeight="1">
      <x:c r="A26" s="5" t="s">
        <x:v>49</x:v>
      </x:c>
      <x:c r="B26" s="9">
        <x:v>7.4999999999999997E-2</x:v>
      </x:c>
      <x:c r="C26" s="9">
        <x:v>0.05</x:v>
      </x:c>
      <x:c r="D26" s="9">
        <x:v>0.05</x:v>
      </x:c>
      <x:c r="E26" s="9">
        <x:v>0.04</x:v>
      </x:c>
      <x:c r="F26" s="9">
        <x:v>3.5000000000000003E-2</x:v>
      </x:c>
      <x:c r="G26" s="1"/>
      <x:c r="H26" s="1"/>
    </x:row>
    <x:row r="27" ht="11.550000190734863" customHeight="1">
      <x:c r="A27" s="5" t="s">
        <x:v>50</x:v>
      </x:c>
      <x:c r="B27" s="9">
        <x:v>0.03</x:v>
      </x:c>
      <x:c r="C27" s="9">
        <x:v>2.5000000000000001E-2</x:v>
      </x:c>
      <x:c r="D27" s="9">
        <x:v>0.05</x:v>
      </x:c>
      <x:c r="E27" s="9">
        <x:v>4.4999999999999998E-2</x:v>
      </x:c>
      <x:c r="F27" s="9">
        <x:v>5.5E-2</x:v>
      </x:c>
      <x:c r="G27" s="1"/>
      <x:c r="H27" s="1"/>
    </x:row>
    <x:row r="28" ht="11.550000190734863" customHeight="1">
      <x:c r="A28" s="5" t="s">
        <x:v>51</x:v>
      </x:c>
      <x:c r="B28" s="9">
        <x:v>2.8000000000000001E-2</x:v>
      </x:c>
      <x:c r="C28" s="9">
        <x:v>3.5000000000000003E-2</x:v>
      </x:c>
      <x:c r="D28" s="9">
        <x:v>2.5000000000000001E-2</x:v>
      </x:c>
      <x:c r="E28" s="9">
        <x:v>1.4999999999999999E-2</x:v>
      </x:c>
      <x:c r="F28" s="9">
        <x:v>0.01</x:v>
      </x:c>
      <x:c r="G28" s="1"/>
      <x:c r="H28" s="1"/>
    </x:row>
    <x:row r="29" ht="11.550000190734863" customHeight="1">
      <x:c r="A29" s="5" t="s">
        <x:v>52</x:v>
      </x:c>
      <x:c r="B29" s="9">
        <x:v>1.4999999999999999E-2</x:v>
      </x:c>
      <x:c r="C29" s="9">
        <x:v>0.02</x:v>
      </x:c>
      <x:c r="D29" s="9">
        <x:v>2.5000000000000001E-2</x:v>
      </x:c>
      <x:c r="E29" s="9">
        <x:v>0.04</x:v>
      </x:c>
      <x:c r="F29" s="9">
        <x:v>3.5000000000000003E-2</x:v>
      </x:c>
      <x:c r="G29" s="1"/>
      <x:c r="H29" s="1"/>
    </x:row>
    <x:row r="30" ht="11.550000190734863" customHeight="1">
      <x:c r="A30" s="6" t="s">
        <x:v>58</x:v>
      </x:c>
      <x:c r="B30" s="10" t="n">
        <x:f>SUM(B2:B29)</x:f>
        <x:v>1.0000000000000002</x:v>
      </x:c>
      <x:c r="C30" s="10" t="n">
        <x:f>SUM(C2:C29)</x:f>
        <x:v>1.0000000000000002</x:v>
      </x:c>
      <x:c r="D30" s="10" t="n">
        <x:f>SUM(D2:D29)</x:f>
        <x:v>1.0000000000000004</x:v>
      </x:c>
      <x:c r="E30" s="10" t="n">
        <x:f>SUM(E2:E29)</x:f>
        <x:v>1.0000000000000002</x:v>
      </x:c>
      <x:c r="F30" s="10" t="n">
        <x:f>SUM(F2:F29)</x:f>
        <x:v>1.0000000000000002</x:v>
      </x:c>
      <x:c r="G30" s="1"/>
      <x:c r="H3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24" customWidth="1"/>
    <x:col min="2" max="2" width="100" customWidth="1"/>
  </x:cols>
  <x:sheetData>
    <x:row r="1" ht="13.949999809265137" customHeight="1">
      <x:c r="A1" s="13" t="s">
        <x:v>59</x:v>
      </x:c>
      <x:c r="B1" s="13" t="s">
        <x:v>60</x:v>
      </x:c>
      <x:c r="C1" s="19"/>
      <x:c r="D1" s="19" t="s">
        <x:v>61</x:v>
      </x:c>
      <x:c r="E1" s="19" t="s">
        <x:v>62</x:v>
      </x:c>
    </x:row>
    <x:row r="2" ht="13.949999809265137" customHeight="1">
      <x:c r="A2" s="20" t="s">
        <x:v>15</x:v>
      </x:c>
      <x:c r="B2" s="20" t="s">
        <x:v>63</x:v>
      </x:c>
      <x:c r="C2" s="19"/>
      <x:c r="D2" s="19">
        <x:v>0</x:v>
      </x:c>
      <x:c r="E2" s="19">
        <x:v>0</x:v>
      </x:c>
    </x:row>
    <x:row r="3" ht="13.949999809265137" customHeight="1">
      <x:c r="A3" s="20" t="s">
        <x:v>21</x:v>
      </x:c>
      <x:c r="B3" s="20" t="s">
        <x:v>64</x:v>
      </x:c>
      <x:c r="C3" s="19"/>
      <x:c r="D3" s="19">
        <x:v>1</x:v>
      </x:c>
      <x:c r="E3" s="19">
        <x:v>-4</x:v>
      </x:c>
    </x:row>
    <x:row r="4" ht="13.949999809265137" customHeight="1">
      <x:c r="A4" s="20" t="s">
        <x:v>24</x:v>
      </x:c>
      <x:c r="B4" s="20" t="s">
        <x:v>65</x:v>
      </x:c>
      <x:c r="C4" s="19"/>
      <x:c r="D4" s="19">
        <x:v>2</x:v>
      </x:c>
      <x:c r="E4" s="19">
        <x:v>-8</x:v>
      </x:c>
    </x:row>
    <x:row r="5" ht="13.949999809265137" customHeight="1">
      <x:c r="A5" s="20" t="s">
        <x:v>66</x:v>
      </x:c>
      <x:c r="B5" s="20" t="s">
        <x:v>67</x:v>
      </x:c>
      <x:c r="C5" s="19"/>
      <x:c r="D5" s="19">
        <x:v>3</x:v>
      </x:c>
      <x:c r="E5" s="19">
        <x:v>-12</x:v>
      </x:c>
    </x:row>
    <x:row r="6" ht="13.949999809265137" customHeight="1">
      <x:c r="A6" s="20" t="s">
        <x:v>68</x:v>
      </x:c>
      <x:c r="B6" s="20" t="s">
        <x:v>69</x:v>
      </x:c>
      <x:c r="C6" s="19"/>
      <x:c r="D6" s="19">
        <x:v>4</x:v>
      </x:c>
      <x:c r="E6" s="19">
        <x:v>-16</x:v>
      </x:c>
    </x:row>
    <x:row r="7" ht="13.949999809265137" customHeight="1">
      <x:c r="A7" s="20" t="s">
        <x:v>70</x:v>
      </x:c>
      <x:c r="B7" s="20" t="s">
        <x:v>71</x:v>
      </x:c>
      <x:c r="C7" s="19"/>
      <x:c r="D7" s="19" t="s">
        <x:v>72</x:v>
      </x:c>
      <x:c r="E7" s="19" t="s">
        <x:v>73</x:v>
      </x:c>
    </x:row>
    <x:row r="8" ht="13.949999809265137" customHeight="1">
      <x:c r="A8" s="20" t="s">
        <x:v>74</x:v>
      </x:c>
      <x:c r="B8" s="20" t="s">
        <x:v>75</x:v>
      </x:c>
      <x:c r="C8" s="19"/>
      <x:c r="D8" s="19"/>
      <x:c r="E8" s="19"/>
    </x:row>
    <x:row r="9" ht="13.949999809265137" customHeight="1">
      <x:c r="A9" s="20" t="s">
        <x:v>76</x:v>
      </x:c>
      <x:c r="B9" s="20" t="s">
        <x:v>77</x:v>
      </x:c>
      <x:c r="C9" s="19"/>
      <x:c r="D9" s="19"/>
      <x:c r="E9" s="19"/>
    </x:row>
    <x:row r="10" ht="13.949999809265137" customHeight="1">
      <x:c r="A10" s="20" t="s">
        <x:v>78</x:v>
      </x:c>
      <x:c r="B10" s="20" t="s">
        <x:v>79</x:v>
      </x:c>
      <x:c r="C10" s="19"/>
      <x:c r="D10" s="19"/>
      <x:c r="E10" s="19"/>
    </x:row>
    <x:row r="11" ht="13.949999809265137" customHeight="1">
      <x:c r="A11" s="20" t="s">
        <x:v>80</x:v>
      </x:c>
      <x:c r="B11" s="20" t="s">
        <x:v>81</x:v>
      </x:c>
      <x:c r="C11" s="19"/>
      <x:c r="D11" s="19"/>
      <x:c r="E11" s="19"/>
    </x:row>
    <x:row r="12" ht="13.949999809265137" customHeight="1">
      <x:c r="A12" s="20" t="s">
        <x:v>82</x:v>
      </x:c>
      <x:c r="B12" s="20" t="s">
        <x:v>83</x:v>
      </x:c>
      <x:c r="C12" s="19"/>
      <x:c r="D12" s="19"/>
      <x:c r="E12" s="19"/>
    </x:row>
    <x:row r="13" ht="13.949999809265137" customHeight="1">
      <x:c r="A13" s="20" t="s">
        <x:v>84</x:v>
      </x:c>
      <x:c r="B13" s="20" t="s">
        <x:v>85</x:v>
      </x:c>
      <x:c r="C13" s="19"/>
      <x:c r="D13" s="19"/>
      <x:c r="E13" s="19"/>
    </x:row>
    <x:row r="14" ht="13.949999809265137" customHeight="1">
      <x:c r="A14" s="20" t="s">
        <x:v>86</x:v>
      </x:c>
      <x:c r="B14" s="20" t="s">
        <x:v>87</x:v>
      </x:c>
      <x:c r="C14" s="19"/>
      <x:c r="D14" s="19"/>
      <x:c r="E14" s="19"/>
    </x:row>
    <x:row r="15" ht="13.949999809265137" customHeight="1">
      <x:c r="A15" s="20" t="s">
        <x:v>88</x:v>
      </x:c>
      <x:c r="B15" s="20" t="s">
        <x:v>89</x:v>
      </x:c>
      <x:c r="C15" s="19"/>
      <x:c r="D15" s="19"/>
      <x:c r="E15" s="19"/>
    </x:row>
    <x:row r="16" ht="13.949999809265137" customHeight="1">
      <x:c r="A16" s="20" t="s">
        <x:v>90</x:v>
      </x:c>
      <x:c r="B16" s="20" t="s">
        <x:v>91</x:v>
      </x:c>
      <x:c r="C16" s="19"/>
      <x:c r="D16" s="19"/>
      <x:c r="E16" s="19"/>
    </x:row>
    <x:row r="17" ht="13.949999809265137" customHeight="1">
      <x:c r="A17" s="20" t="s">
        <x:v>92</x:v>
      </x:c>
      <x:c r="B17" s="20" t="s">
        <x:v>93</x:v>
      </x:c>
      <x:c r="C17" s="19"/>
      <x:c r="D17" s="19"/>
      <x:c r="E17" s="19"/>
    </x:row>
    <x:row r="18" ht="13.949999809265137" customHeight="1">
      <x:c r="A18" s="20" t="s">
        <x:v>94</x:v>
      </x:c>
      <x:c r="B18" s="20" t="s">
        <x:v>95</x:v>
      </x:c>
      <x:c r="C18" s="19"/>
      <x:c r="D18" s="19"/>
      <x:c r="E18" s="19"/>
    </x:row>
    <x:row r="19" ht="13.949999809265137" customHeight="1">
      <x:c r="A19" s="20" t="s">
        <x:v>96</x:v>
      </x:c>
      <x:c r="B19" s="20" t="s">
        <x:v>97</x:v>
      </x:c>
      <x:c r="C19" s="19"/>
      <x:c r="D19" s="19"/>
      <x:c r="E19" s="19"/>
    </x:row>
    <x:row r="20" ht="13.949999809265137" customHeight="1">
      <x:c r="A20" s="20" t="s">
        <x:v>98</x:v>
      </x:c>
      <x:c r="B20" s="20" t="s">
        <x:v>99</x:v>
      </x:c>
      <x:c r="C20" s="19"/>
      <x:c r="D20" s="19"/>
      <x:c r="E20" s="19"/>
    </x:row>
    <x:row r="21" ht="13.949999809265137" customHeight="1">
      <x:c r="A21" s="20" t="s">
        <x:v>100</x:v>
      </x:c>
      <x:c r="B21" s="20" t="s">
        <x:v>101</x:v>
      </x:c>
      <x:c r="C21" s="19"/>
      <x:c r="D21" s="19"/>
      <x:c r="E21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22" customWidth="1"/>
    <x:col min="2" max="2" width="26" customWidth="1"/>
    <x:col min="3" max="4" width="55" customWidth="1"/>
    <x:col min="5" max="5" width="45" customWidth="1"/>
  </x:cols>
  <x:sheetData>
    <x:row r="1" ht="17.850000381469727" customHeight="1">
      <x:c r="A1" s="12" t="s">
        <x:v>102</x:v>
      </x:c>
      <x:c r="B1" s="12" t="s">
        <x:v>103</x:v>
      </x:c>
      <x:c r="C1" s="13" t="s">
        <x:v>104</x:v>
      </x:c>
      <x:c r="D1" s="13" t="s">
        <x:v>105</x:v>
      </x:c>
      <x:c r="E1" s="13" t="s">
        <x:v>106</x:v>
      </x:c>
    </x:row>
    <x:row r="2" ht="17.850000381469727" customHeight="1">
      <x:c r="A2" s="5" t="s">
        <x:v>2</x:v>
      </x:c>
      <x:c r="B2" s="5" t="s">
        <x:v>107</x:v>
      </x:c>
      <x:c r="C2" s="5" t="s">
        <x:v>108</x:v>
      </x:c>
      <x:c r="D2" s="5" t="s">
        <x:v>109</x:v>
      </x:c>
      <x:c r="E2" s="5" t="s">
        <x:v>110</x:v>
      </x:c>
    </x:row>
    <x:row r="3" ht="17.850000381469727" customHeight="1">
      <x:c r="A3" s="5" t="s">
        <x:v>3</x:v>
      </x:c>
      <x:c r="B3" s="5" t="s">
        <x:v>111</x:v>
      </x:c>
      <x:c r="C3" s="5" t="s">
        <x:v>112</x:v>
      </x:c>
      <x:c r="D3" s="5" t="s">
        <x:v>113</x:v>
      </x:c>
      <x:c r="E3" s="5" t="s">
        <x:v>114</x:v>
      </x:c>
    </x:row>
    <x:row r="4" ht="17.850000381469727" customHeight="1">
      <x:c r="A4" s="5" t="s">
        <x:v>4</x:v>
      </x:c>
      <x:c r="B4" s="5" t="s">
        <x:v>115</x:v>
      </x:c>
      <x:c r="C4" s="5" t="s">
        <x:v>116</x:v>
      </x:c>
      <x:c r="D4" s="5" t="s">
        <x:v>117</x:v>
      </x:c>
      <x:c r="E4" s="5" t="s">
        <x:v>118</x:v>
      </x:c>
    </x:row>
    <x:row r="5" ht="17.850000381469727" customHeight="1">
      <x:c r="A5" s="5" t="s">
        <x:v>5</x:v>
      </x:c>
      <x:c r="B5" s="5" t="s">
        <x:v>119</x:v>
      </x:c>
      <x:c r="C5" s="5" t="s">
        <x:v>120</x:v>
      </x:c>
      <x:c r="D5" s="5" t="s">
        <x:v>121</x:v>
      </x:c>
      <x:c r="E5" s="5" t="s">
        <x:v>122</x:v>
      </x:c>
    </x:row>
    <x:row r="6" ht="17.850000381469727" customHeight="1">
      <x:c r="A6" s="5" t="s">
        <x:v>6</x:v>
      </x:c>
      <x:c r="B6" s="5" t="s">
        <x:v>123</x:v>
      </x:c>
      <x:c r="C6" s="5" t="s">
        <x:v>124</x:v>
      </x:c>
      <x:c r="D6" s="5" t="s">
        <x:v>125</x:v>
      </x:c>
      <x:c r="E6" s="5" t="s">
        <x:v>126</x:v>
      </x:c>
    </x:row>
    <x:row r="7" ht="17.850000381469727" customHeight="1">
      <x:c r="A7" s="5" t="s">
        <x:v>7</x:v>
      </x:c>
      <x:c r="B7" s="5" t="s">
        <x:v>127</x:v>
      </x:c>
      <x:c r="C7" s="5" t="s">
        <x:v>128</x:v>
      </x:c>
      <x:c r="D7" s="5" t="s">
        <x:v>129</x:v>
      </x:c>
      <x:c r="E7" s="5" t="s">
        <x:v>130</x:v>
      </x:c>
    </x:row>
    <x:row r="8" ht="17.850000381469727" customHeight="1">
      <x:c r="A8" s="5" t="s">
        <x:v>8</x:v>
      </x:c>
      <x:c r="B8" s="5" t="s">
        <x:v>131</x:v>
      </x:c>
      <x:c r="C8" s="5" t="s">
        <x:v>132</x:v>
      </x:c>
      <x:c r="D8" s="5" t="s">
        <x:v>133</x:v>
      </x:c>
      <x:c r="E8" s="5" t="s">
        <x:v>134</x:v>
      </x:c>
    </x:row>
    <x:row r="9" ht="17.850000381469727" customHeight="1">
      <x:c r="A9" s="5" t="s">
        <x:v>9</x:v>
      </x:c>
      <x:c r="B9" s="5" t="s">
        <x:v>135</x:v>
      </x:c>
      <x:c r="C9" s="5" t="s">
        <x:v>136</x:v>
      </x:c>
      <x:c r="D9" s="5" t="s">
        <x:v>137</x:v>
      </x:c>
      <x:c r="E9" s="5" t="s">
        <x:v>138</x:v>
      </x:c>
    </x:row>
    <x:row r="10" ht="17.850000381469727" customHeight="1">
      <x:c r="A10" s="5" t="s">
        <x:v>10</x:v>
      </x:c>
      <x:c r="B10" s="5" t="s">
        <x:v>131</x:v>
      </x:c>
      <x:c r="C10" s="5" t="s">
        <x:v>139</x:v>
      </x:c>
      <x:c r="D10" s="5" t="s">
        <x:v>140</x:v>
      </x:c>
      <x:c r="E10" s="5" t="s">
        <x:v>141</x:v>
      </x:c>
    </x:row>
    <x:row r="11" ht="17.850000381469727" customHeight="1">
      <x:c r="A11" s="5" t="s">
        <x:v>11</x:v>
      </x:c>
      <x:c r="B11" s="5" t="s">
        <x:v>131</x:v>
      </x:c>
      <x:c r="C11" s="5" t="s">
        <x:v>142</x:v>
      </x:c>
      <x:c r="D11" s="5" t="s">
        <x:v>143</x:v>
      </x:c>
      <x:c r="E11" s="5" t="s">
        <x:v>144</x:v>
      </x:c>
    </x:row>
    <x:row r="12" ht="17.850000381469727" customHeight="1">
      <x:c r="A12" s="5" t="s">
        <x:v>12</x:v>
      </x:c>
      <x:c r="B12" s="5" t="s">
        <x:v>131</x:v>
      </x:c>
      <x:c r="C12" s="5" t="s">
        <x:v>145</x:v>
      </x:c>
      <x:c r="D12" s="5" t="s">
        <x:v>146</x:v>
      </x:c>
      <x:c r="E12" s="5" t="s">
        <x:v>147</x:v>
      </x:c>
    </x:row>
    <x:row r="13" ht="17.850000381469727" customHeight="1">
      <x:c r="A13" s="5" t="s">
        <x:v>13</x:v>
      </x:c>
      <x:c r="B13" s="5" t="s">
        <x:v>131</x:v>
      </x:c>
      <x:c r="C13" s="5" t="s">
        <x:v>148</x:v>
      </x:c>
      <x:c r="D13" s="5" t="s">
        <x:v>149</x:v>
      </x:c>
      <x:c r="E13" s="5" t="s">
        <x:v>150</x:v>
      </x:c>
    </x:row>
    <x:row r="14" ht="17.850000381469727" customHeight="1">
      <x:c r="A14" s="5" t="s">
        <x:v>14</x:v>
      </x:c>
      <x:c r="B14" s="5" t="s">
        <x:v>151</x:v>
      </x:c>
      <x:c r="C14" s="5" t="s">
        <x:v>152</x:v>
      </x:c>
      <x:c r="D14" s="5" t="s">
        <x:v>153</x:v>
      </x:c>
      <x:c r="E14" s="5" t="s">
        <x:v>154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</x:cols>
  <x:sheetData>
    <x:row r="1">
      <x:c r="A1" s="68" t="str">
        <x:v>Player</x:v>
      </x:c>
      <x:c r="B1" s="69" t="str">
        <x:v>Primary Position</x:v>
      </x:c>
      <x:c r="C1" s="69" t="str">
        <x:v>Target OVR</x:v>
      </x:c>
      <x:c r="D1" s="69" t="str">
        <x:v>Base Flat Score</x:v>
      </x:c>
      <x:c r="E1" s="69" t="str">
        <x:v>Best Archetype</x:v>
      </x:c>
      <x:c r="F1" s="69" t="str">
        <x:v>Best Archetype Score</x:v>
      </x:c>
      <x:c r="G1" s="69" t="str">
        <x:v>Base Contribution (70%)</x:v>
      </x:c>
      <x:c r="H1" s="69" t="str">
        <x:v>Archetype Contribution (30%)</x:v>
      </x:c>
      <x:c r="I1" s="69" t="str">
        <x:v>Raw Blend</x:v>
      </x:c>
      <x:c r="J1" s="69" t="str">
        <x:v>Capped Score</x:v>
      </x:c>
      <x:c r="K1" s="69" t="str">
        <x:v>Final Natural/Profile OVR</x:v>
      </x:c>
      <x:c r="L1" s="69" t="str">
        <x:v>Gap vs Target</x:v>
      </x:c>
      <x:c r="M1" s="69" t="str">
        <x:v>Diagnosis</x:v>
      </x:c>
      <x:c r="N1" s="69" t="str">
        <x:v>perimeterShooting</x:v>
      </x:c>
      <x:c r="O1" s="69" t="str">
        <x:v>movementShooting</x:v>
      </x:c>
      <x:c r="P1" s="69" t="str">
        <x:v>shotCreationBlock</x:v>
      </x:c>
      <x:c r="Q1" s="69" t="str">
        <x:v>rimPressure</x:v>
      </x:c>
      <x:c r="R1" s="69" t="str">
        <x:v>guardPlaymaking</x:v>
      </x:c>
      <x:c r="S1" s="69" t="str">
        <x:v>wingPlaymaking</x:v>
      </x:c>
      <x:c r="T1" s="69" t="str">
        <x:v>bigPlaymaking</x:v>
      </x:c>
      <x:c r="U1" s="69" t="str">
        <x:v>guardDefense</x:v>
      </x:c>
      <x:c r="V1" s="69" t="str">
        <x:v>wingDefense</x:v>
      </x:c>
      <x:c r="W1" s="69" t="str">
        <x:v>bigDefense</x:v>
      </x:c>
      <x:c r="X1" s="69" t="str">
        <x:v>rebounding</x:v>
      </x:c>
      <x:c r="Y1" s="69" t="str">
        <x:v>athleticism</x:v>
      </x:c>
      <x:c r="Z1" s="69" t="str">
        <x:v>interiorScoring</x:v>
      </x:c>
      <x:c r="AA1" s="69" t="str">
        <x:v>stretchScoring</x:v>
      </x:c>
      <x:c r="AB1" s="69" t="str">
        <x:v>iqClutch</x:v>
      </x:c>
      <x:c r="AC1" s="69" t="str">
        <x:v>floorGeneral</x:v>
      </x:c>
      <x:c r="AD1" s="69" t="str">
        <x:v>scoringPG</x:v>
      </x:c>
      <x:c r="AE1" s="69" t="str">
        <x:v>defensivePG</x:v>
      </x:c>
      <x:c r="AF1" s="69" t="str">
        <x:v>reboundingPG</x:v>
      </x:c>
      <x:c r="AG1" s="69" t="str">
        <x:v>offBallPG</x:v>
      </x:c>
      <x:c r="AH1" s="69" t="str">
        <x:v>offScreenShooter</x:v>
      </x:c>
      <x:c r="AI1" s="69" t="str">
        <x:v>shotCreatorSG</x:v>
      </x:c>
      <x:c r="AJ1" s="69" t="str">
        <x:v>slasherSG</x:v>
      </x:c>
      <x:c r="AK1" s="69" t="str">
        <x:v>threeAndDSG</x:v>
      </x:c>
      <x:c r="AL1" s="69" t="str">
        <x:v>comboGuardSG</x:v>
      </x:c>
      <x:c r="AM1" s="69" t="str">
        <x:v>reboundingSG</x:v>
      </x:c>
      <x:c r="AN1" s="69" t="str">
        <x:v>wingScorer</x:v>
      </x:c>
      <x:c r="AO1" s="69" t="str">
        <x:v>threeAndDWing</x:v>
      </x:c>
      <x:c r="AP1" s="69" t="str">
        <x:v>pointForward</x:v>
      </x:c>
      <x:c r="AQ1" s="69" t="str">
        <x:v>slashingWing</x:v>
      </x:c>
      <x:c r="AR1" s="69" t="str">
        <x:v>reboundingWing</x:v>
      </x:c>
      <x:c r="AS1" s="69" t="str">
        <x:v>offBallWing</x:v>
      </x:c>
      <x:c r="AT1" s="69" t="str">
        <x:v>stretchFour</x:v>
      </x:c>
      <x:c r="AU1" s="69" t="str">
        <x:v>interiorPF</x:v>
      </x:c>
      <x:c r="AV1" s="69" t="str">
        <x:v>defensiveRebounderPF</x:v>
      </x:c>
      <x:c r="AW1" s="69" t="str">
        <x:v>pointBigPF</x:v>
      </x:c>
      <x:c r="AX1" s="69" t="str">
        <x:v>rimRunnerPF</x:v>
      </x:c>
      <x:c r="AY1" s="69" t="str">
        <x:v>smallBallBig</x:v>
      </x:c>
      <x:c r="AZ1" s="69" t="str">
        <x:v>rimProtector</x:v>
      </x:c>
      <x:c r="BA1" s="51" t="str">
        <x:v>rebounderC</x:v>
      </x:c>
      <x:c r="BB1" s="51" t="str">
        <x:v>postScorerC</x:v>
      </x:c>
      <x:c r="BC1" s="51" t="str">
        <x:v>stretchFive</x:v>
      </x:c>
      <x:c r="BD1" s="51" t="str">
        <x:v>passingHubC</x:v>
      </x:c>
      <x:c r="BE1" s="51" t="str">
        <x:v>rimRunnerC</x:v>
      </x:c>
      <x:c r="BF1" s="52" t="str">
        <x:v>mobileSwitchC</x:v>
      </x:c>
    </x:row>
    <x:row r="2">
      <x:c r="A2" s="53" t="str">
        <x:f>'Santurce Attribute Matrix'!B$1</x:f>
        <x:v>Ángel Rodríguez</x:v>
      </x:c>
      <x:c r="B2" s="54" t="str">
        <x:f>'Santurce Attribute Matrix'!B$2</x:f>
        <x:v>PG</x:v>
      </x:c>
      <x:c r="C2" s="54" t="n">
        <x:f>'Santurce Attribute Matrix'!B$5</x:f>
        <x:v>91</x:v>
      </x:c>
      <x:c r="D2" s="54" t="n">
        <x:f>IF(B2="PG",'Santurce Attribute Matrix'!B$18*0.12+'Santurce Attribute Matrix'!B$17*0.115+'Santurce Attribute Matrix'!B$30*0.075+'Santurce Attribute Matrix'!B$15*0.07+'Santurce Attribute Matrix'!B$25*0.065+'Santurce Attribute Matrix'!B$13*0.065+'Santurce Attribute Matrix'!B$7*0.055+'Santurce Attribute Matrix'!B$26*0.055+'Santurce Attribute Matrix'!B$20*0.055+'Santurce Attribute Matrix'!B$21*0.04+'Santurce Attribute Matrix'!B$11*0.04+'Santurce Attribute Matrix'!B$14*0.03+'Santurce Attribute Matrix'!B$12*0.03+'Santurce Attribute Matrix'!B$31*0.03+'Santurce Attribute Matrix'!B$32*0.028+'Santurce Attribute Matrix'!B$29*0.025+'Santurce Attribute Matrix'!B$6*0.015+'Santurce Attribute Matrix'!B$16*0.015+'Santurce Attribute Matrix'!B$33*0.015+'Santurce Attribute Matrix'!B$24*0.012+'Santurce Attribute Matrix'!B$27*0.012+'Santurce Attribute Matrix'!B$28*0.008+'Santurce Attribute Matrix'!B$19*0.008+'Santurce Attribute Matrix'!B$23*0.005+'Santurce Attribute Matrix'!B$8*0.005+'Santurce Attribute Matrix'!B$22*0.003+'Santurce Attribute Matrix'!B$10*0.002+'Santurce Attribute Matrix'!B$9*0.002,IF(B2="SG",'Santurce Attribute Matrix'!B$13*0.11+'Santurce Attribute Matrix'!B$15*0.09+'Santurce Attribute Matrix'!B$7*0.07+'Santurce Attribute Matrix'!B$12*0.065+'Santurce Attribute Matrix'!B$16*0.06+'Santurce Attribute Matrix'!B$20*0.06+'Santurce Attribute Matrix'!B$18*0.06+'Santurce Attribute Matrix'!B$30*0.05+'Santurce Attribute Matrix'!B$11*0.05+'Santurce Attribute Matrix'!B$17*0.045+'Santurce Attribute Matrix'!B$14*0.04+'Santurce Attribute Matrix'!B$25*0.04+'Santurce Attribute Matrix'!B$21*0.035+'Santurce Attribute Matrix'!B$26*0.035+'Santurce Attribute Matrix'!B$32*0.035+'Santurce Attribute Matrix'!B$31*0.025+'Santurce Attribute Matrix'!B$29*0.02+'Santurce Attribute Matrix'!B$33*0.02+'Santurce Attribute Matrix'!B$6*0.015+'Santurce Attribute Matrix'!B$27*0.015+'Santurce Attribute Matrix'!B$28*0.015+'Santurce Attribute Matrix'!B$24*0.015+'Santurce Attribute Matrix'!B$19*0.01+'Santurce Attribute Matrix'!B$23*0.005+'Santurce Attribute Matrix'!B$8*0.005+'Santurce Attribute Matrix'!B$22*0.005+'Santurce Attribute Matrix'!B$10*0.003+'Santurce Attribute Matrix'!B$9*0.002,IF(B2="SF",'Santurce Attribute Matrix'!B$20*0.075+'Santurce Attribute Matrix'!B$13*0.075+'Santurce Attribute Matrix'!B$7*0.055+'Santurce Attribute Matrix'!B$15*0.055+'Santurce Attribute Matrix'!B$16*0.055+'Santurce Attribute Matrix'!B$30*0.05+'Santurce Attribute Matrix'!B$31*0.05+'Santurce Attribute Matrix'!B$12*0.05+'Santurce Attribute Matrix'!B$27*0.045+'Santurce Attribute Matrix'!B$25*0.045+'Santurce Attribute Matrix'!B$26*0.04+'Santurce Attribute Matrix'!B$18*0.04+'Santurce Attribute Matrix'!B$24*0.04+'Santurce Attribute Matrix'!B$11*0.04+'Santurce Attribute Matrix'!B$21*0.035+'Santurce Attribute Matrix'!B$14*0.03+'Santurce Attribute Matrix'!B$28*0.025+'Santurce Attribute Matrix'!B$17*0.025+'Santurce Attribute Matrix'!B$29*0.025+'Santurce Attribute Matrix'!B$32*0.025+'Santurce Attribute Matrix'!B$33*0.025+'Santurce Attribute Matrix'!B$6*0.02+'Santurce Attribute Matrix'!B$19*0.02+'Santurce Attribute Matrix'!B$23*0.015+'Santurce Attribute Matrix'!B$8*0.015+'Santurce Attribute Matrix'!B$22*0.01+'Santurce Attribute Matrix'!B$10*0.008+'Santurce Attribute Matrix'!B$9*0.007,IF(B2="PF",'Santurce Attribute Matrix'!B$19*0.08+'Santurce Attribute Matrix'!B$24*0.075+'Santurce Attribute Matrix'!B$6*0.07+'Santurce Attribute Matrix'!B$27*0.065+'Santurce Attribute Matrix'!B$23*0.06+'Santurce Attribute Matrix'!B$10*0.045+'Santurce Attribute Matrix'!B$31*0.045+'Santurce Attribute Matrix'!B$12*0.045+'Santurce Attribute Matrix'!B$9*0.04+'Santurce Attribute Matrix'!B$11*0.04+'Santurce Attribute Matrix'!B$22*0.04+'Santurce Attribute Matrix'!B$30*0.04+'Santurce Attribute Matrix'!B$33*0.04+'Santurce Attribute Matrix'!B$13*0.04+'Santurce Attribute Matrix'!B$7*0.04+'Santurce Attribute Matrix'!B$28*0.035+'Santurce Attribute Matrix'!B$20*0.03+'Santurce Attribute Matrix'!B$29*0.025+'Santurce Attribute Matrix'!B$14*0.02+'Santurce Attribute Matrix'!B$25*0.02+'Santurce Attribute Matrix'!B$26*0.015+'Santurce Attribute Matrix'!B$17*0.015+'Santurce Attribute Matrix'!B$16*0.015+'Santurce Attribute Matrix'!B$32*0.015+'Santurce Attribute Matrix'!B$8*0.015+'Santurce Attribute Matrix'!B$18*0.01+'Santurce Attribute Matrix'!B$21*0.01+'Santurce Attribute Matrix'!B$15*0.01,'Santurce Attribute Matrix'!B$19*0.11+'Santurce Attribute Matrix'!B$24*0.1+'Santurce Attribute Matrix'!B$6*0.08+'Santurce Attribute Matrix'!B$27*0.075+'Santurce Attribute Matrix'!B$22*0.075+'Santurce Attribute Matrix'!B$23*0.065+'Santurce Attribute Matrix'!B$9*0.055+'Santurce Attribute Matrix'!B$31*0.055+'Santurce Attribute Matrix'!B$10*0.05+'Santurce Attribute Matrix'!B$11*0.045+'Santurce Attribute Matrix'!B$30*0.035+'Santurce Attribute Matrix'!B$28*0.035+'Santurce Attribute Matrix'!B$33*0.035+'Santurce Attribute Matrix'!B$14*0.02+'Santurce Attribute Matrix'!B$29*0.02+'Santurce Attribute Matrix'!B$12*0.02+'Santurce Attribute Matrix'!B$20*0.015+'Santurce Attribute Matrix'!B$13*0.015+'Santurce Attribute Matrix'!B$17*0.015+'Santurce Attribute Matrix'!B$25*0.015+'Santurce Attribute Matrix'!B$26*0.01+'Santurce Attribute Matrix'!B$16*0.01+'Santurce Attribute Matrix'!B$7*0.01+'Santurce Attribute Matrix'!B$8*0.01+'Santurce Attribute Matrix'!B$32*0.01+'Santurce Attribute Matrix'!B$18*0.005+'Santurce Attribute Matrix'!B$21*0.005+'Santurce Attribute Matrix'!B$15*0.005))))</x:f>
        <x:v>88.95899999999999</x:v>
      </x:c>
      <x:c r="E2" s="54" t="str">
        <x:f>IF(B2="PG",INDEX($AC$1:$AG$1,1,MATCH(F2,AC2:AG2,0)),IF(B2="SG",INDEX($AH$1:$AM$1,1,MATCH(F2,AH2:AM2,0)),IF(B2="SF",INDEX($AN$1:$AS$1,1,MATCH(F2,AN2:AS2,0)),IF(B2="PF",INDEX($AT$1:$AY$1,1,MATCH(F2,AT2:AY2,0)),INDEX($AZ$1:$BF$1,1,MATCH(F2,AZ2:BF2,0))))))</x:f>
        <x:v>defensivePG</x:v>
      </x:c>
      <x:c r="F2" s="54" t="n">
        <x:f>IF(B2="PG",MAX(AC2:AG2),IF(B2="SG",MAX(AH2:AM2),IF(B2="SF",MAX(AN2:AS2),IF(B2="PF",MAX(AT2:AY2),MAX(AZ2:BF2)))))</x:f>
        <x:v>91.783</x:v>
      </x:c>
      <x:c r="G2" s="54" t="n">
        <x:f>D2*0.70</x:f>
        <x:v>62.27129999999999</x:v>
      </x:c>
      <x:c r="H2" s="54" t="n">
        <x:f>F2*0.30</x:f>
        <x:v>27.5349</x:v>
      </x:c>
      <x:c r="I2" s="54" t="n">
        <x:f>G2+H2</x:f>
        <x:v>89.80619999999999</x:v>
      </x:c>
      <x:c r="J2" s="54" t="n">
        <x:f>MIN(D2+6,MAX(D2-2,I2))</x:f>
        <x:v>89.80619999999999</x:v>
      </x:c>
      <x:c r="K2" s="54" t="n">
        <x:f>ROUND(MAX(25,MIN(99,J2)),0)</x:f>
        <x:v>90</x:v>
      </x:c>
      <x:c r="L2" s="54" t="n">
        <x:f>K2-C2</x:f>
        <x:v>-1</x:v>
      </x:c>
      <x:c r="M2" s="54" t="str">
        <x:f>IF(ABS(L2)&lt;=1,"On target",IF(L2&lt;-3,"Below target - review archetype/attributes/caps",IF(L2&gt;3,"Above target - review attributes/weights","Close")))</x:f>
        <x:v>On target</x:v>
      </x:c>
      <x:c r="N2" s="54" t="n">
        <x:f>'Santurce Attribute Matrix'!B$13*0.42+'Santurce Attribute Matrix'!B$12*0.18+'Santurce Attribute Matrix'!B$14*0.08+'Santurce Attribute Matrix'!B$16*0.22+'Santurce Attribute Matrix'!B$30*0.1</x:f>
        <x:v>83.84</x:v>
      </x:c>
      <x:c r="O2" s="54" t="n">
        <x:f>'Santurce Attribute Matrix'!B$13*0.35+'Santurce Attribute Matrix'!B$16*0.35+'Santurce Attribute Matrix'!B$29*0.12+'Santurce Attribute Matrix'!B$30*0.1+'Santurce Attribute Matrix'!B$12*0.08</x:f>
        <x:v>84.96999999999998</x:v>
      </x:c>
      <x:c r="P2" s="54" t="n">
        <x:f>'Santurce Attribute Matrix'!B$15*0.35+'Santurce Attribute Matrix'!B$18*0.22+'Santurce Attribute Matrix'!B$12*0.18+'Santurce Attribute Matrix'!B$13*0.1+'Santurce Attribute Matrix'!B$7*0.08+'Santurce Attribute Matrix'!B$11*0.07</x:f>
        <x:v>86.75</x:v>
      </x:c>
      <x:c r="Q2" s="54" t="n">
        <x:f>'Santurce Attribute Matrix'!B$7*0.34+'Santurce Attribute Matrix'!B$11*0.22+'Santurce Attribute Matrix'!B$25*0.15+'Santurce Attribute Matrix'!B$26*0.12+'Santurce Attribute Matrix'!B$6*0.1+'Santurce Attribute Matrix'!B$8*0.07</x:f>
        <x:v>81.05</x:v>
      </x:c>
      <x:c r="R2" s="54" t="n">
        <x:f>'Santurce Attribute Matrix'!B$17*0.45+'Santurce Attribute Matrix'!B$18*0.25+'Santurce Attribute Matrix'!B$30*0.25+'Santurce Attribute Matrix'!B$15*0.05</x:f>
        <x:v>94.6</x:v>
      </x:c>
      <x:c r="S2" s="54" t="n">
        <x:f>'Santurce Attribute Matrix'!B$17*0.38+'Santurce Attribute Matrix'!B$18*0.27+'Santurce Attribute Matrix'!B$30*0.25+'Santurce Attribute Matrix'!B$15*0.1</x:f>
        <x:v>94.18</x:v>
      </x:c>
      <x:c r="T2" s="54" t="n">
        <x:f>'Santurce Attribute Matrix'!B$17*0.42+'Santurce Attribute Matrix'!B$30*0.32+'Santurce Attribute Matrix'!B$10*0.16+'Santurce Attribute Matrix'!B$18*0.1</x:f>
        <x:v>87.22000000000001</x:v>
      </x:c>
      <x:c r="U2" s="54" t="n">
        <x:f>'Santurce Attribute Matrix'!B$20*0.44+'Santurce Attribute Matrix'!B$31*0.24+'Santurce Attribute Matrix'!B$21*0.14+'Santurce Attribute Matrix'!B$25*0.06+'Santurce Attribute Matrix'!B$27*0.06+'Santurce Attribute Matrix'!B$33*0.06</x:f>
        <x:v>94.30000000000001</x:v>
      </x:c>
      <x:c r="V2" s="54" t="n">
        <x:f>'Santurce Attribute Matrix'!B$20*0.32+'Santurce Attribute Matrix'!B$31*0.24+'Santurce Attribute Matrix'!B$27*0.13+'Santurce Attribute Matrix'!B$21*0.12+'Santurce Attribute Matrix'!B$22*0.08+'Santurce Attribute Matrix'!B$25*0.06+'Santurce Attribute Matrix'!B$33*0.05</x:f>
        <x:v>88.64</x:v>
      </x:c>
      <x:c r="W2" s="54" t="n">
        <x:f>'Santurce Attribute Matrix'!B$19*0.34+'Santurce Attribute Matrix'!B$31*0.24+'Santurce Attribute Matrix'!B$22*0.2+'Santurce Attribute Matrix'!B$27*0.1+'Santurce Attribute Matrix'!B$24*0.08+'Santurce Attribute Matrix'!B$33*0.04</x:f>
        <x:v>66.98</x:v>
      </x:c>
      <x:c r="X2" s="54" t="n">
        <x:f>'Santurce Attribute Matrix'!B$24*0.5+'Santurce Attribute Matrix'!B$23*0.25+'Santurce Attribute Matrix'!B$27*0.1+'Santurce Attribute Matrix'!B$28*0.08+'Santurce Attribute Matrix'!B$33*0.07</x:f>
        <x:v>62.78</x:v>
      </x:c>
      <x:c r="Y2" s="54" t="n">
        <x:f>'Santurce Attribute Matrix'!B$25*0.28+'Santurce Attribute Matrix'!B$26*0.25+'Santurce Attribute Matrix'!B$29*0.22+'Santurce Attribute Matrix'!B$28*0.12+'Santurce Attribute Matrix'!B$27*0.13</x:f>
        <x:v>89.43</x:v>
      </x:c>
      <x:c r="Z2" s="54" t="n">
        <x:f>'Santurce Attribute Matrix'!B$6*0.24+'Santurce Attribute Matrix'!B$10*0.24+'Santurce Attribute Matrix'!B$9*0.16+'Santurce Attribute Matrix'!B$7*0.12+'Santurce Attribute Matrix'!B$11*0.12+'Santurce Attribute Matrix'!B$27*0.08+'Santurce Attribute Matrix'!B$30*0.04</x:f>
        <x:v>63.03999999999999</x:v>
      </x:c>
      <x:c r="AA2" s="54" t="n">
        <x:f>'Santurce Attribute Matrix'!B$13*0.36+'Santurce Attribute Matrix'!B$12*0.18+'Santurce Attribute Matrix'!B$16*0.16+'Santurce Attribute Matrix'!B$14*0.1+'Santurce Attribute Matrix'!B$30*0.12+'Santurce Attribute Matrix'!B$15*0.08</x:f>
        <x:v>84.65999999999998</x:v>
      </x:c>
      <x:c r="AB2" s="54" t="n">
        <x:f>'Santurce Attribute Matrix'!B$30*0.34+'Santurce Attribute Matrix'!B$31*0.24+'Santurce Attribute Matrix'!B$32*0.24+'Santurce Attribute Matrix'!B$33*0.18</x:f>
        <x:v>93.6</x:v>
      </x:c>
      <x:c r="AC2" s="54" t="n">
        <x:f>R2*0.45+N2*0.14+P2*0.13+U2*0.1+Y2*0.06+AB2*0.12</x:f>
        <x:v>91.6129</x:v>
      </x:c>
      <x:c r="AD2" s="54" t="n">
        <x:f>P2*0.34+Q2*0.22+N2*0.2+R2*0.1+Y2*0.08+AB2*0.06</x:f>
        <x:v>86.32439999999998</x:v>
      </x:c>
      <x:c r="AE2" s="54" t="n">
        <x:f>U2*0.38+R2*0.22+Y2*0.14+N2*0.12+P2*0.08+AB2*0.06</x:f>
        <x:v>91.783</x:v>
      </x:c>
      <x:c r="AF2" s="54" t="n">
        <x:f>X2*0.24+U2*0.2+Y2*0.16+R2*0.18+Q2*0.12+N2*0.1</x:f>
        <x:v>83.37400000000001</x:v>
      </x:c>
      <x:c r="AG2" s="54" t="n">
        <x:f>O2*0.35+N2*0.24+R2*0.14+U2*0.1+Y2*0.07+AB2*0.1</x:f>
        <x:v>88.1552</x:v>
      </x:c>
      <x:c r="AH2" s="54" t="n">
        <x:f>O2*0.44+N2*0.26+P2*0.12+U2*0.07+Y2*0.04+AB2*0.05+R2*0.02</x:f>
        <x:v>86.34539999999998</x:v>
      </x:c>
      <x:c r="AI2" s="54" t="n">
        <x:f>P2*0.34+N2*0.22+Q2*0.14+O2*0.12+U2*0.08+Y2*0.06+AB2*0.04</x:f>
        <x:v>86.137</x:v>
      </x:c>
      <x:c r="AJ2" s="54" t="n">
        <x:f>Q2*0.34+P2*0.2+Y2*0.16+U2*0.1+N2*0.1+AB2*0.06+R2*0.04</x:f>
        <x:v>86.42980000000001</x:v>
      </x:c>
      <x:c r="AK2" s="54" t="n">
        <x:f>N2*0.3+O2*0.2+U2*0.26+Y2*0.08+AB2*0.08+P2*0.05+X2*0.03</x:f>
        <x:v>87.5273</x:v>
      </x:c>
      <x:c r="AL2" s="54" t="n">
        <x:f>R2*0.26+P2*0.24+N2*0.18+Q2*0.12+U2*0.1+Y2*0.06+AB2*0.04</x:f>
        <x:v>88.773</x:v>
      </x:c>
      <x:c r="AM2" s="54" t="n">
        <x:f>X2*0.22+U2*0.18+O2*0.18+P2*0.14+Y2*0.12+N2*0.1+AB2*0.06</x:f>
        <x:v>82.9568</x:v>
      </x:c>
      <x:c r="AN2" s="54" t="n">
        <x:f>P2*0.28+N2*0.22+Q2*0.18+O2*0.12+V2*0.08+Y2*0.07+AB2*0.05</x:f>
        <x:v>85.5515</x:v>
      </x:c>
      <x:c r="AO2" s="54" t="n">
        <x:f>N2*0.28+V2*0.28+O2*0.16+Y2*0.08+X2*0.07+AB2*0.08+P2*0.05</x:f>
        <x:v>85.26410000000001</x:v>
      </x:c>
      <x:c r="AP2" s="54" t="n">
        <x:f>S2*0.32+P2*0.18+N2*0.14+Q2*0.1+V2*0.1+X2*0.07+AB2*0.09</x:f>
        <x:v>87.27780000000001</x:v>
      </x:c>
      <x:c r="AQ2" s="54" t="n">
        <x:f>Q2*0.3+Y2*0.18+P2*0.18+V2*0.12+X2*0.08+N2*0.08+AB2*0.06</x:f>
        <x:v>84.0098</x:v>
      </x:c>
      <x:c r="AR2" s="54" t="n">
        <x:f>X2*0.24+V2*0.2+Y2*0.14+Q2*0.12+N2*0.12+S2*0.08+AB2*0.1</x:f>
        <x:v>81.99660000000002</x:v>
      </x:c>
      <x:c r="AS2" s="54" t="n">
        <x:f>O2*0.34+N2*0.24+V2*0.14+P2*0.1+Y2*0.07+X2*0.04+AB2*0.07</x:f>
        <x:v>85.4193</x:v>
      </x:c>
      <x:c r="AT2" s="54" t="n">
        <x:f>AA2*0.32+N2*0.18+X2*0.13+W2*0.13+T2*0.08+Y2*0.06+AB2*0.1</x:f>
        <x:v>80.7546</x:v>
      </x:c>
      <x:c r="AU2" s="54" t="n">
        <x:f>Z2*0.3+X2*0.2+W2*0.16+Q2*0.12+Y2*0.08+T2*0.06+AB2*0.08</x:f>
        <x:v>71.7864</x:v>
      </x:c>
      <x:c r="AV2" s="54" t="n">
        <x:f>W2*0.3+X2*0.28+Y2*0.1+Z2*0.1+T2*0.07+AA2*0.06+AB2*0.09</x:f>
        <x:v>72.5284</x:v>
      </x:c>
      <x:c r="AW2" s="54" t="n">
        <x:f>T2*0.28+AA2*0.16+Z2*0.14+X2*0.14+W2*0.12+AB2*0.1+Y2*0.06</x:f>
        <x:v>78.34540000000001</x:v>
      </x:c>
      <x:c r="AX2" s="54" t="n">
        <x:f>Q2*0.24+Z2*0.24+Y2*0.16+X2*0.14+W2*0.12+AB2*0.06+T2*0.04</x:f>
        <x:v>74.822</x:v>
      </x:c>
      <x:c r="AY2" s="54" t="n">
        <x:f>V2*0.22+AA2*0.2+Y2*0.14+X2*0.14+T2*0.12+Q2*0.08+AB2*0.1</x:f>
        <x:v>84.0526</x:v>
      </x:c>
      <x:c r="AZ2" s="54" t="n">
        <x:f>W2*0.36+X2*0.22+Y2*0.1+Z2*0.12+T2*0.06+AB2*0.1+AA2*0.04</x:f>
        <x:v>72.4118</x:v>
      </x:c>
      <x:c r="BA2" s="54" t="n">
        <x:f>X2*0.34+W2*0.24+Z2*0.14+Y2*0.1+AB2*0.08+T2*0.06+AA2*0.04</x:f>
        <x:v>71.2966</x:v>
      </x:c>
      <x:c r="BB2" s="54" t="n">
        <x:f>Z2*0.34+X2*0.18+W2*0.16+T2*0.1+AB2*0.08+Y2*0.08+AA2*0.06</x:f>
        <x:v>71.89479999999999</x:v>
      </x:c>
      <x:c r="BC2" s="54" t="n">
        <x:f>AA2*0.3+N2*0.18+W2*0.16+X2*0.14+T2*0.08+Y2*0.05+AB2*0.09</x:f>
        <x:v>79.8683</x:v>
      </x:c>
      <x:c r="BD2" s="54" t="n">
        <x:f>T2*0.3+Z2*0.18+X2*0.16+W2*0.16+AA2*0.08+AB2*0.08+Y2*0.04</x:f>
        <x:v>76.11280000000001</x:v>
      </x:c>
      <x:c r="BE2" s="54" t="n">
        <x:f>Q2*0.24+Z2*0.24+Y2*0.16+X2*0.16+W2*0.12+AB2*0.06+T2*0.02</x:f>
        <x:v>74.3332</x:v>
      </x:c>
      <x:c r="BF2" s="55" t="n">
        <x:f>W2*0.24+V2*0.2+Y2*0.16+X2*0.16+Q2*0.08+T2*0.08+AB2*0.08</x:f>
        <x:v>79.10640000000001</x:v>
      </x:c>
    </x:row>
    <x:row r="3">
      <x:c r="A3" s="53" t="str">
        <x:f>'Santurce Attribute Matrix'!C$1</x:f>
        <x:v>Walter Hodge</x:v>
      </x:c>
      <x:c r="B3" s="54" t="str">
        <x:f>'Santurce Attribute Matrix'!C$2</x:f>
        <x:v>PG</x:v>
      </x:c>
      <x:c r="C3" s="54" t="n">
        <x:f>'Santurce Attribute Matrix'!C$5</x:f>
        <x:v>84</x:v>
      </x:c>
      <x:c r="D3" s="54" t="n">
        <x:f>IF(B3="PG",'Santurce Attribute Matrix'!C$18*0.12+'Santurce Attribute Matrix'!C$17*0.115+'Santurce Attribute Matrix'!C$30*0.075+'Santurce Attribute Matrix'!C$15*0.07+'Santurce Attribute Matrix'!C$25*0.065+'Santurce Attribute Matrix'!C$13*0.065+'Santurce Attribute Matrix'!C$7*0.055+'Santurce Attribute Matrix'!C$26*0.055+'Santurce Attribute Matrix'!C$20*0.055+'Santurce Attribute Matrix'!C$21*0.04+'Santurce Attribute Matrix'!C$11*0.04+'Santurce Attribute Matrix'!C$14*0.03+'Santurce Attribute Matrix'!C$12*0.03+'Santurce Attribute Matrix'!C$31*0.03+'Santurce Attribute Matrix'!C$32*0.028+'Santurce Attribute Matrix'!C$29*0.025+'Santurce Attribute Matrix'!C$6*0.015+'Santurce Attribute Matrix'!C$16*0.015+'Santurce Attribute Matrix'!C$33*0.015+'Santurce Attribute Matrix'!C$24*0.012+'Santurce Attribute Matrix'!C$27*0.012+'Santurce Attribute Matrix'!C$28*0.008+'Santurce Attribute Matrix'!C$19*0.008+'Santurce Attribute Matrix'!C$23*0.005+'Santurce Attribute Matrix'!C$8*0.005+'Santurce Attribute Matrix'!C$22*0.003+'Santurce Attribute Matrix'!C$10*0.002+'Santurce Attribute Matrix'!C$9*0.002,IF(B3="SG",'Santurce Attribute Matrix'!C$13*0.11+'Santurce Attribute Matrix'!C$15*0.09+'Santurce Attribute Matrix'!C$7*0.07+'Santurce Attribute Matrix'!C$12*0.065+'Santurce Attribute Matrix'!C$16*0.06+'Santurce Attribute Matrix'!C$20*0.06+'Santurce Attribute Matrix'!C$18*0.06+'Santurce Attribute Matrix'!C$30*0.05+'Santurce Attribute Matrix'!C$11*0.05+'Santurce Attribute Matrix'!C$17*0.045+'Santurce Attribute Matrix'!C$14*0.04+'Santurce Attribute Matrix'!C$25*0.04+'Santurce Attribute Matrix'!C$21*0.035+'Santurce Attribute Matrix'!C$26*0.035+'Santurce Attribute Matrix'!C$32*0.035+'Santurce Attribute Matrix'!C$31*0.025+'Santurce Attribute Matrix'!C$29*0.02+'Santurce Attribute Matrix'!C$33*0.02+'Santurce Attribute Matrix'!C$6*0.015+'Santurce Attribute Matrix'!C$27*0.015+'Santurce Attribute Matrix'!C$28*0.015+'Santurce Attribute Matrix'!C$24*0.015+'Santurce Attribute Matrix'!C$19*0.01+'Santurce Attribute Matrix'!C$23*0.005+'Santurce Attribute Matrix'!C$8*0.005+'Santurce Attribute Matrix'!C$22*0.005+'Santurce Attribute Matrix'!C$10*0.003+'Santurce Attribute Matrix'!C$9*0.002,IF(B3="SF",'Santurce Attribute Matrix'!C$20*0.075+'Santurce Attribute Matrix'!C$13*0.075+'Santurce Attribute Matrix'!C$7*0.055+'Santurce Attribute Matrix'!C$15*0.055+'Santurce Attribute Matrix'!C$16*0.055+'Santurce Attribute Matrix'!C$30*0.05+'Santurce Attribute Matrix'!C$31*0.05+'Santurce Attribute Matrix'!C$12*0.05+'Santurce Attribute Matrix'!C$27*0.045+'Santurce Attribute Matrix'!C$25*0.045+'Santurce Attribute Matrix'!C$26*0.04+'Santurce Attribute Matrix'!C$18*0.04+'Santurce Attribute Matrix'!C$24*0.04+'Santurce Attribute Matrix'!C$11*0.04+'Santurce Attribute Matrix'!C$21*0.035+'Santurce Attribute Matrix'!C$14*0.03+'Santurce Attribute Matrix'!C$28*0.025+'Santurce Attribute Matrix'!C$17*0.025+'Santurce Attribute Matrix'!C$29*0.025+'Santurce Attribute Matrix'!C$32*0.025+'Santurce Attribute Matrix'!C$33*0.025+'Santurce Attribute Matrix'!C$6*0.02+'Santurce Attribute Matrix'!C$19*0.02+'Santurce Attribute Matrix'!C$23*0.015+'Santurce Attribute Matrix'!C$8*0.015+'Santurce Attribute Matrix'!C$22*0.01+'Santurce Attribute Matrix'!C$10*0.008+'Santurce Attribute Matrix'!C$9*0.007,IF(B3="PF",'Santurce Attribute Matrix'!C$19*0.08+'Santurce Attribute Matrix'!C$24*0.075+'Santurce Attribute Matrix'!C$6*0.07+'Santurce Attribute Matrix'!C$27*0.065+'Santurce Attribute Matrix'!C$23*0.06+'Santurce Attribute Matrix'!C$10*0.045+'Santurce Attribute Matrix'!C$31*0.045+'Santurce Attribute Matrix'!C$12*0.045+'Santurce Attribute Matrix'!C$9*0.04+'Santurce Attribute Matrix'!C$11*0.04+'Santurce Attribute Matrix'!C$22*0.04+'Santurce Attribute Matrix'!C$30*0.04+'Santurce Attribute Matrix'!C$33*0.04+'Santurce Attribute Matrix'!C$13*0.04+'Santurce Attribute Matrix'!C$7*0.04+'Santurce Attribute Matrix'!C$28*0.035+'Santurce Attribute Matrix'!C$20*0.03+'Santurce Attribute Matrix'!C$29*0.025+'Santurce Attribute Matrix'!C$14*0.02+'Santurce Attribute Matrix'!C$25*0.02+'Santurce Attribute Matrix'!C$26*0.015+'Santurce Attribute Matrix'!C$17*0.015+'Santurce Attribute Matrix'!C$16*0.015+'Santurce Attribute Matrix'!C$32*0.015+'Santurce Attribute Matrix'!C$8*0.015+'Santurce Attribute Matrix'!C$18*0.01+'Santurce Attribute Matrix'!C$21*0.01+'Santurce Attribute Matrix'!C$15*0.01,'Santurce Attribute Matrix'!C$19*0.11+'Santurce Attribute Matrix'!C$24*0.1+'Santurce Attribute Matrix'!C$6*0.08+'Santurce Attribute Matrix'!C$27*0.075+'Santurce Attribute Matrix'!C$22*0.075+'Santurce Attribute Matrix'!C$23*0.065+'Santurce Attribute Matrix'!C$9*0.055+'Santurce Attribute Matrix'!C$31*0.055+'Santurce Attribute Matrix'!C$10*0.05+'Santurce Attribute Matrix'!C$11*0.045+'Santurce Attribute Matrix'!C$30*0.035+'Santurce Attribute Matrix'!C$28*0.035+'Santurce Attribute Matrix'!C$33*0.035+'Santurce Attribute Matrix'!C$14*0.02+'Santurce Attribute Matrix'!C$29*0.02+'Santurce Attribute Matrix'!C$12*0.02+'Santurce Attribute Matrix'!C$20*0.015+'Santurce Attribute Matrix'!C$13*0.015+'Santurce Attribute Matrix'!C$17*0.015+'Santurce Attribute Matrix'!C$25*0.015+'Santurce Attribute Matrix'!C$26*0.01+'Santurce Attribute Matrix'!C$16*0.01+'Santurce Attribute Matrix'!C$7*0.01+'Santurce Attribute Matrix'!C$8*0.01+'Santurce Attribute Matrix'!C$32*0.01+'Santurce Attribute Matrix'!C$18*0.005+'Santurce Attribute Matrix'!C$21*0.005+'Santurce Attribute Matrix'!C$15*0.005))))</x:f>
        <x:v>84.051</x:v>
      </x:c>
      <x:c r="E3" s="54" t="str">
        <x:f>IF(B3="PG",INDEX($AC$1:$AG$1,1,MATCH(F3,AC3:AG3,0)),IF(B3="SG",INDEX($AH$1:$AM$1,1,MATCH(F3,AH3:AM3,0)),IF(B3="SF",INDEX($AN$1:$AS$1,1,MATCH(F3,AN3:AS3,0)),IF(B3="PF",INDEX($AT$1:$AY$1,1,MATCH(F3,AT3:AY3,0)),INDEX($AZ$1:$BF$1,1,MATCH(F3,AZ3:BF3,0))))))</x:f>
        <x:v>floorGeneral</x:v>
      </x:c>
      <x:c r="F3" s="54" t="n">
        <x:f>IF(B3="PG",MAX(AC3:AG3),IF(B3="SG",MAX(AH3:AM3),IF(B3="SF",MAX(AN3:AS3),IF(B3="PF",MAX(AT3:AY3),MAX(AZ3:BF3)))))</x:f>
        <x:v>89.0694</x:v>
      </x:c>
      <x:c r="G3" s="54" t="n">
        <x:f>D3*0.70</x:f>
        <x:v>58.835699999999996</x:v>
      </x:c>
      <x:c r="H3" s="54" t="n">
        <x:f>F3*0.30</x:f>
        <x:v>26.72082</x:v>
      </x:c>
      <x:c r="I3" s="54" t="n">
        <x:f>G3+H3</x:f>
        <x:v>85.55651999999999</x:v>
      </x:c>
      <x:c r="J3" s="54" t="n">
        <x:f>MIN(D3+6,MAX(D3-2,I3))</x:f>
        <x:v>85.55651999999999</x:v>
      </x:c>
      <x:c r="K3" s="54" t="n">
        <x:f>ROUND(MAX(25,MIN(99,J3)),0)</x:f>
        <x:v>86</x:v>
      </x:c>
      <x:c r="L3" s="54" t="n">
        <x:f>K3-C3</x:f>
        <x:v>2</x:v>
      </x:c>
      <x:c r="M3" s="54" t="str">
        <x:f>IF(ABS(L3)&lt;=1,"On target",IF(L3&lt;-3,"Below target - review archetype/attributes/caps",IF(L3&gt;3,"Above target - review attributes/weights","Close")))</x:f>
        <x:v>Close</x:v>
      </x:c>
      <x:c r="N3" s="54" t="n">
        <x:f>'Santurce Attribute Matrix'!C$13*0.42+'Santurce Attribute Matrix'!C$12*0.18+'Santurce Attribute Matrix'!C$14*0.08+'Santurce Attribute Matrix'!C$16*0.22+'Santurce Attribute Matrix'!C$30*0.1</x:f>
        <x:v>87.74000000000001</x:v>
      </x:c>
      <x:c r="O3" s="54" t="n">
        <x:f>'Santurce Attribute Matrix'!C$13*0.35+'Santurce Attribute Matrix'!C$16*0.35+'Santurce Attribute Matrix'!C$29*0.12+'Santurce Attribute Matrix'!C$30*0.1+'Santurce Attribute Matrix'!C$12*0.08</x:f>
        <x:v>87.10999999999999</x:v>
      </x:c>
      <x:c r="P3" s="54" t="n">
        <x:f>'Santurce Attribute Matrix'!C$15*0.35+'Santurce Attribute Matrix'!C$18*0.22+'Santurce Attribute Matrix'!C$12*0.18+'Santurce Attribute Matrix'!C$13*0.1+'Santurce Attribute Matrix'!C$7*0.08+'Santurce Attribute Matrix'!C$11*0.07</x:f>
        <x:v>88.5</x:v>
      </x:c>
      <x:c r="Q3" s="54" t="n">
        <x:f>'Santurce Attribute Matrix'!C$7*0.34+'Santurce Attribute Matrix'!C$11*0.22+'Santurce Attribute Matrix'!C$25*0.15+'Santurce Attribute Matrix'!C$26*0.12+'Santurce Attribute Matrix'!C$6*0.1+'Santurce Attribute Matrix'!C$8*0.07</x:f>
        <x:v>76.82</x:v>
      </x:c>
      <x:c r="R3" s="54" t="n">
        <x:f>'Santurce Attribute Matrix'!C$17*0.45+'Santurce Attribute Matrix'!C$18*0.25+'Santurce Attribute Matrix'!C$30*0.25+'Santurce Attribute Matrix'!C$15*0.05</x:f>
        <x:v>93.80000000000001</x:v>
      </x:c>
      <x:c r="S3" s="54" t="n">
        <x:f>'Santurce Attribute Matrix'!C$17*0.38+'Santurce Attribute Matrix'!C$18*0.27+'Santurce Attribute Matrix'!C$30*0.25+'Santurce Attribute Matrix'!C$15*0.1</x:f>
        <x:v>93.56</x:v>
      </x:c>
      <x:c r="T3" s="54" t="n">
        <x:f>'Santurce Attribute Matrix'!C$17*0.42+'Santurce Attribute Matrix'!C$30*0.32+'Santurce Attribute Matrix'!C$10*0.16+'Santurce Attribute Matrix'!C$18*0.1</x:f>
        <x:v>86.6</x:v>
      </x:c>
      <x:c r="U3" s="54" t="n">
        <x:f>'Santurce Attribute Matrix'!C$20*0.44+'Santurce Attribute Matrix'!C$31*0.24+'Santurce Attribute Matrix'!C$21*0.14+'Santurce Attribute Matrix'!C$25*0.06+'Santurce Attribute Matrix'!C$27*0.06+'Santurce Attribute Matrix'!C$33*0.06</x:f>
        <x:v>77.42</x:v>
      </x:c>
      <x:c r="V3" s="54" t="n">
        <x:f>'Santurce Attribute Matrix'!C$20*0.32+'Santurce Attribute Matrix'!C$31*0.24+'Santurce Attribute Matrix'!C$27*0.13+'Santurce Attribute Matrix'!C$21*0.12+'Santurce Attribute Matrix'!C$22*0.08+'Santurce Attribute Matrix'!C$25*0.06+'Santurce Attribute Matrix'!C$33*0.05</x:f>
        <x:v>72.46000000000001</x:v>
      </x:c>
      <x:c r="W3" s="54" t="n">
        <x:f>'Santurce Attribute Matrix'!C$19*0.34+'Santurce Attribute Matrix'!C$31*0.24+'Santurce Attribute Matrix'!C$22*0.2+'Santurce Attribute Matrix'!C$27*0.1+'Santurce Attribute Matrix'!C$24*0.08+'Santurce Attribute Matrix'!C$33*0.04</x:f>
        <x:v>53.64</x:v>
      </x:c>
      <x:c r="X3" s="54" t="n">
        <x:f>'Santurce Attribute Matrix'!C$24*0.5+'Santurce Attribute Matrix'!C$23*0.25+'Santurce Attribute Matrix'!C$27*0.1+'Santurce Attribute Matrix'!C$28*0.08+'Santurce Attribute Matrix'!C$33*0.07</x:f>
        <x:v>47.220000000000006</x:v>
      </x:c>
      <x:c r="Y3" s="54" t="n">
        <x:f>'Santurce Attribute Matrix'!C$25*0.28+'Santurce Attribute Matrix'!C$26*0.25+'Santurce Attribute Matrix'!C$29*0.22+'Santurce Attribute Matrix'!C$28*0.12+'Santurce Attribute Matrix'!C$27*0.13</x:f>
        <x:v>72.60000000000001</x:v>
      </x:c>
      <x:c r="Z3" s="54" t="n">
        <x:f>'Santurce Attribute Matrix'!C$6*0.24+'Santurce Attribute Matrix'!C$10*0.24+'Santurce Attribute Matrix'!C$9*0.16+'Santurce Attribute Matrix'!C$7*0.12+'Santurce Attribute Matrix'!C$11*0.12+'Santurce Attribute Matrix'!C$27*0.08+'Santurce Attribute Matrix'!C$30*0.04</x:f>
        <x:v>61.83999999999999</x:v>
      </x:c>
      <x:c r="AA3" s="54" t="n">
        <x:f>'Santurce Attribute Matrix'!C$13*0.36+'Santurce Attribute Matrix'!C$12*0.18+'Santurce Attribute Matrix'!C$16*0.16+'Santurce Attribute Matrix'!C$14*0.1+'Santurce Attribute Matrix'!C$30*0.12+'Santurce Attribute Matrix'!C$15*0.08</x:f>
        <x:v>88.28</x:v>
      </x:c>
      <x:c r="AB3" s="54" t="n">
        <x:f>'Santurce Attribute Matrix'!C$30*0.34+'Santurce Attribute Matrix'!C$31*0.24+'Santurce Attribute Matrix'!C$32*0.24+'Santurce Attribute Matrix'!C$33*0.18</x:f>
        <x:v>91.44</x:v>
      </x:c>
      <x:c r="AC3" s="54" t="n">
        <x:f>R3*0.45+N3*0.14+P3*0.13+U3*0.1+Y3*0.06+AB3*0.12</x:f>
        <x:v>89.0694</x:v>
      </x:c>
      <x:c r="AD3" s="54" t="n">
        <x:f>P3*0.34+Q3*0.22+N3*0.2+R3*0.1+Y3*0.08+AB3*0.06</x:f>
        <x:v>85.2128</x:v>
      </x:c>
      <x:c r="AE3" s="54" t="n">
        <x:f>U3*0.38+R3*0.22+Y3*0.14+N3*0.12+P3*0.08+AB3*0.06</x:f>
        <x:v>83.3148</x:v>
      </x:c>
      <x:c r="AF3" s="54" t="n">
        <x:f>X3*0.24+U3*0.2+Y3*0.16+R3*0.18+Q3*0.12+N3*0.1</x:f>
        <x:v>73.3092</x:v>
      </x:c>
      <x:c r="AG3" s="54" t="n">
        <x:f>O3*0.35+N3*0.24+R3*0.14+U3*0.1+Y3*0.07+AB3*0.1</x:f>
        <x:v>86.64610000000002</x:v>
      </x:c>
      <x:c r="AH3" s="54" t="n">
        <x:f>O3*0.44+N3*0.26+P3*0.12+U3*0.07+Y3*0.04+AB3*0.05+R3*0.02</x:f>
        <x:v>86.5322</x:v>
      </x:c>
      <x:c r="AI3" s="54" t="n">
        <x:f>P3*0.34+N3*0.22+Q3*0.14+O3*0.12+U3*0.08+Y3*0.06+AB3*0.04</x:f>
        <x:v>84.808</x:v>
      </x:c>
      <x:c r="AJ3" s="54" t="n">
        <x:f>Q3*0.34+P3*0.2+Y3*0.16+U3*0.1+N3*0.1+AB3*0.06+R3*0.04</x:f>
        <x:v>81.1892</x:v>
      </x:c>
      <x:c r="AK3" s="54" t="n">
        <x:f>N3*0.3+O3*0.2+U3*0.26+Y3*0.08+AB3*0.08+P3*0.05+X3*0.03</x:f>
        <x:v>82.83800000000001</x:v>
      </x:c>
      <x:c r="AL3" s="54" t="n">
        <x:f>R3*0.26+P3*0.24+N3*0.18+Q3*0.12+U3*0.1+Y3*0.06+AB3*0.04</x:f>
        <x:v>86.3952</x:v>
      </x:c>
      <x:c r="AM3" s="54" t="n">
        <x:f>X3*0.22+U3*0.18+O3*0.18+P3*0.14+Y3*0.12+N3*0.1+AB3*0.06</x:f>
        <x:v>75.3662</x:v>
      </x:c>
      <x:c r="AN3" s="54" t="n">
        <x:f>P3*0.28+N3*0.22+Q3*0.18+O3*0.12+V3*0.08+Y3*0.07+AB3*0.05</x:f>
        <x:v>83.8144</x:v>
      </x:c>
      <x:c r="AO3" s="54" t="n">
        <x:f>N3*0.28+V3*0.28+O3*0.16+Y3*0.08+X3*0.07+AB3*0.08+P3*0.05</x:f>
        <x:v>79.64720000000001</x:v>
      </x:c>
      <x:c r="AP3" s="54" t="n">
        <x:f>S3*0.32+P3*0.18+N3*0.14+Q3*0.1+V3*0.1+X3*0.07+AB3*0.09</x:f>
        <x:v>84.61580000000001</x:v>
      </x:c>
      <x:c r="AQ3" s="54" t="n">
        <x:f>Q3*0.3+Y3*0.18+P3*0.18+V3*0.12+X3*0.08+N3*0.08+AB3*0.06</x:f>
        <x:v>77.0224</x:v>
      </x:c>
      <x:c r="AR3" s="54" t="n">
        <x:f>X3*0.24+V3*0.2+Y3*0.14+Q3*0.12+N3*0.12+S3*0.08+AB3*0.1</x:f>
        <x:v>72.3648</x:v>
      </x:c>
      <x:c r="AS3" s="54" t="n">
        <x:f>O3*0.34+N3*0.24+V3*0.14+P3*0.1+Y3*0.07+X3*0.04+AB3*0.07</x:f>
        <x:v>83.041</x:v>
      </x:c>
      <x:c r="AT3" s="54" t="n">
        <x:f>AA3*0.32+N3*0.18+X3*0.13+W3*0.13+T3*0.08+Y3*0.06+AB3*0.1</x:f>
        <x:v>77.5826</x:v>
      </x:c>
      <x:c r="AU3" s="54" t="n">
        <x:f>Z3*0.3+X3*0.2+W3*0.16+Q3*0.12+Y3*0.08+T3*0.06+AB3*0.08</x:f>
        <x:v>64.11599999999999</x:v>
      </x:c>
      <x:c r="AV3" s="54" t="n">
        <x:f>W3*0.3+X3*0.28+Y3*0.1+Z3*0.1+T3*0.07+AA3*0.06+AB3*0.09</x:f>
        <x:v>62.34599999999999</x:v>
      </x:c>
      <x:c r="AW3" s="54" t="n">
        <x:f>T3*0.28+AA3*0.16+Z3*0.14+X3*0.14+W3*0.12+AB3*0.1+Y3*0.06</x:f>
        <x:v>73.57799999999999</x:v>
      </x:c>
      <x:c r="AX3" s="54" t="n">
        <x:f>Q3*0.24+Z3*0.24+Y3*0.16+X3*0.14+W3*0.12+AB3*0.06+T3*0.04</x:f>
        <x:v>66.89239999999998</x:v>
      </x:c>
      <x:c r="AY3" s="54" t="n">
        <x:f>V3*0.22+AA3*0.2+Y3*0.14+X3*0.14+T3*0.12+Q3*0.08+AB3*0.1</x:f>
        <x:v>76.0536</x:v>
      </x:c>
      <x:c r="AZ3" s="54" t="n">
        <x:f>W3*0.36+X3*0.22+Y3*0.1+Z3*0.12+T3*0.06+AB3*0.1+AA3*0.04</x:f>
        <x:v>62.25079999999999</x:v>
      </x:c>
      <x:c r="BA3" s="54" t="n">
        <x:f>X3*0.34+W3*0.24+Z3*0.14+Y3*0.1+AB3*0.08+T3*0.06+AA3*0.04</x:f>
        <x:v>60.8884</x:v>
      </x:c>
      <x:c r="BB3" s="54" t="n">
        <x:f>Z3*0.34+X3*0.18+W3*0.16+T3*0.1+AB3*0.08+Y3*0.08+AA3*0.06</x:f>
        <x:v>65.1876</x:v>
      </x:c>
      <x:c r="BC3" s="54" t="n">
        <x:f>AA3*0.3+N3*0.18+W3*0.16+X3*0.14+T3*0.08+Y3*0.05+AB3*0.09</x:f>
        <x:v>76.258</x:v>
      </x:c>
      <x:c r="BD3" s="54" t="n">
        <x:f>T3*0.3+Z3*0.18+X3*0.16+W3*0.16+AA3*0.08+AB3*0.08+Y3*0.04</x:f>
        <x:v>70.5304</x:v>
      </x:c>
      <x:c r="BE3" s="54" t="n">
        <x:f>Q3*0.24+Z3*0.24+Y3*0.16+X3*0.16+W3*0.12+AB3*0.06+T3*0.02</x:f>
        <x:v>66.10479999999998</x:v>
      </x:c>
      <x:c r="BF3" s="55" t="n">
        <x:f>W3*0.24+V3*0.2+Y3*0.16+X3*0.16+Q3*0.08+T3*0.08+AB3*0.08</x:f>
        <x:v>66.9256</x:v>
      </x:c>
    </x:row>
    <x:row r="4">
      <x:c r="A4" s="53" t="str">
        <x:f>'Santurce Attribute Matrix'!D$1</x:f>
        <x:v>Jordan Howard</x:v>
      </x:c>
      <x:c r="B4" s="54" t="str">
        <x:f>'Santurce Attribute Matrix'!D$2</x:f>
        <x:v>PG</x:v>
      </x:c>
      <x:c r="C4" s="54" t="n">
        <x:f>'Santurce Attribute Matrix'!D$5</x:f>
        <x:v>89</x:v>
      </x:c>
      <x:c r="D4" s="54" t="n">
        <x:f>IF(B4="PG",'Santurce Attribute Matrix'!D$18*0.12+'Santurce Attribute Matrix'!D$17*0.115+'Santurce Attribute Matrix'!D$30*0.075+'Santurce Attribute Matrix'!D$15*0.07+'Santurce Attribute Matrix'!D$25*0.065+'Santurce Attribute Matrix'!D$13*0.065+'Santurce Attribute Matrix'!D$7*0.055+'Santurce Attribute Matrix'!D$26*0.055+'Santurce Attribute Matrix'!D$20*0.055+'Santurce Attribute Matrix'!D$21*0.04+'Santurce Attribute Matrix'!D$11*0.04+'Santurce Attribute Matrix'!D$14*0.03+'Santurce Attribute Matrix'!D$12*0.03+'Santurce Attribute Matrix'!D$31*0.03+'Santurce Attribute Matrix'!D$32*0.028+'Santurce Attribute Matrix'!D$29*0.025+'Santurce Attribute Matrix'!D$6*0.015+'Santurce Attribute Matrix'!D$16*0.015+'Santurce Attribute Matrix'!D$33*0.015+'Santurce Attribute Matrix'!D$24*0.012+'Santurce Attribute Matrix'!D$27*0.012+'Santurce Attribute Matrix'!D$28*0.008+'Santurce Attribute Matrix'!D$19*0.008+'Santurce Attribute Matrix'!D$23*0.005+'Santurce Attribute Matrix'!D$8*0.005+'Santurce Attribute Matrix'!D$22*0.003+'Santurce Attribute Matrix'!D$10*0.002+'Santurce Attribute Matrix'!D$9*0.002,IF(B4="SG",'Santurce Attribute Matrix'!D$13*0.11+'Santurce Attribute Matrix'!D$15*0.09+'Santurce Attribute Matrix'!D$7*0.07+'Santurce Attribute Matrix'!D$12*0.065+'Santurce Attribute Matrix'!D$16*0.06+'Santurce Attribute Matrix'!D$20*0.06+'Santurce Attribute Matrix'!D$18*0.06+'Santurce Attribute Matrix'!D$30*0.05+'Santurce Attribute Matrix'!D$11*0.05+'Santurce Attribute Matrix'!D$17*0.045+'Santurce Attribute Matrix'!D$14*0.04+'Santurce Attribute Matrix'!D$25*0.04+'Santurce Attribute Matrix'!D$21*0.035+'Santurce Attribute Matrix'!D$26*0.035+'Santurce Attribute Matrix'!D$32*0.035+'Santurce Attribute Matrix'!D$31*0.025+'Santurce Attribute Matrix'!D$29*0.02+'Santurce Attribute Matrix'!D$33*0.02+'Santurce Attribute Matrix'!D$6*0.015+'Santurce Attribute Matrix'!D$27*0.015+'Santurce Attribute Matrix'!D$28*0.015+'Santurce Attribute Matrix'!D$24*0.015+'Santurce Attribute Matrix'!D$19*0.01+'Santurce Attribute Matrix'!D$23*0.005+'Santurce Attribute Matrix'!D$8*0.005+'Santurce Attribute Matrix'!D$22*0.005+'Santurce Attribute Matrix'!D$10*0.003+'Santurce Attribute Matrix'!D$9*0.002,IF(B4="SF",'Santurce Attribute Matrix'!D$20*0.075+'Santurce Attribute Matrix'!D$13*0.075+'Santurce Attribute Matrix'!D$7*0.055+'Santurce Attribute Matrix'!D$15*0.055+'Santurce Attribute Matrix'!D$16*0.055+'Santurce Attribute Matrix'!D$30*0.05+'Santurce Attribute Matrix'!D$31*0.05+'Santurce Attribute Matrix'!D$12*0.05+'Santurce Attribute Matrix'!D$27*0.045+'Santurce Attribute Matrix'!D$25*0.045+'Santurce Attribute Matrix'!D$26*0.04+'Santurce Attribute Matrix'!D$18*0.04+'Santurce Attribute Matrix'!D$24*0.04+'Santurce Attribute Matrix'!D$11*0.04+'Santurce Attribute Matrix'!D$21*0.035+'Santurce Attribute Matrix'!D$14*0.03+'Santurce Attribute Matrix'!D$28*0.025+'Santurce Attribute Matrix'!D$17*0.025+'Santurce Attribute Matrix'!D$29*0.025+'Santurce Attribute Matrix'!D$32*0.025+'Santurce Attribute Matrix'!D$33*0.025+'Santurce Attribute Matrix'!D$6*0.02+'Santurce Attribute Matrix'!D$19*0.02+'Santurce Attribute Matrix'!D$23*0.015+'Santurce Attribute Matrix'!D$8*0.015+'Santurce Attribute Matrix'!D$22*0.01+'Santurce Attribute Matrix'!D$10*0.008+'Santurce Attribute Matrix'!D$9*0.007,IF(B4="PF",'Santurce Attribute Matrix'!D$19*0.08+'Santurce Attribute Matrix'!D$24*0.075+'Santurce Attribute Matrix'!D$6*0.07+'Santurce Attribute Matrix'!D$27*0.065+'Santurce Attribute Matrix'!D$23*0.06+'Santurce Attribute Matrix'!D$10*0.045+'Santurce Attribute Matrix'!D$31*0.045+'Santurce Attribute Matrix'!D$12*0.045+'Santurce Attribute Matrix'!D$9*0.04+'Santurce Attribute Matrix'!D$11*0.04+'Santurce Attribute Matrix'!D$22*0.04+'Santurce Attribute Matrix'!D$30*0.04+'Santurce Attribute Matrix'!D$33*0.04+'Santurce Attribute Matrix'!D$13*0.04+'Santurce Attribute Matrix'!D$7*0.04+'Santurce Attribute Matrix'!D$28*0.035+'Santurce Attribute Matrix'!D$20*0.03+'Santurce Attribute Matrix'!D$29*0.025+'Santurce Attribute Matrix'!D$14*0.02+'Santurce Attribute Matrix'!D$25*0.02+'Santurce Attribute Matrix'!D$26*0.015+'Santurce Attribute Matrix'!D$17*0.015+'Santurce Attribute Matrix'!D$16*0.015+'Santurce Attribute Matrix'!D$32*0.015+'Santurce Attribute Matrix'!D$8*0.015+'Santurce Attribute Matrix'!D$18*0.01+'Santurce Attribute Matrix'!D$21*0.01+'Santurce Attribute Matrix'!D$15*0.01,'Santurce Attribute Matrix'!D$19*0.11+'Santurce Attribute Matrix'!D$24*0.1+'Santurce Attribute Matrix'!D$6*0.08+'Santurce Attribute Matrix'!D$27*0.075+'Santurce Attribute Matrix'!D$22*0.075+'Santurce Attribute Matrix'!D$23*0.065+'Santurce Attribute Matrix'!D$9*0.055+'Santurce Attribute Matrix'!D$31*0.055+'Santurce Attribute Matrix'!D$10*0.05+'Santurce Attribute Matrix'!D$11*0.045+'Santurce Attribute Matrix'!D$30*0.035+'Santurce Attribute Matrix'!D$28*0.035+'Santurce Attribute Matrix'!D$33*0.035+'Santurce Attribute Matrix'!D$14*0.02+'Santurce Attribute Matrix'!D$29*0.02+'Santurce Attribute Matrix'!D$12*0.02+'Santurce Attribute Matrix'!D$20*0.015+'Santurce Attribute Matrix'!D$13*0.015+'Santurce Attribute Matrix'!D$17*0.015+'Santurce Attribute Matrix'!D$25*0.015+'Santurce Attribute Matrix'!D$26*0.01+'Santurce Attribute Matrix'!D$16*0.01+'Santurce Attribute Matrix'!D$7*0.01+'Santurce Attribute Matrix'!D$8*0.01+'Santurce Attribute Matrix'!D$32*0.01+'Santurce Attribute Matrix'!D$18*0.005+'Santurce Attribute Matrix'!D$21*0.005+'Santurce Attribute Matrix'!D$15*0.005))))</x:f>
        <x:v>88.58400000000003</x:v>
      </x:c>
      <x:c r="E4" s="54" t="str">
        <x:f>IF(B4="PG",INDEX($AC$1:$AG$1,1,MATCH(F4,AC4:AG4,0)),IF(B4="SG",INDEX($AH$1:$AM$1,1,MATCH(F4,AH4:AM4,0)),IF(B4="SF",INDEX($AN$1:$AS$1,1,MATCH(F4,AN4:AS4,0)),IF(B4="PF",INDEX($AT$1:$AY$1,1,MATCH(F4,AT4:AY4,0)),INDEX($AZ$1:$BF$1,1,MATCH(F4,AZ4:BF4,0))))))</x:f>
        <x:v>offBallPG</x:v>
      </x:c>
      <x:c r="F4" s="54" t="n">
        <x:f>IF(B4="PG",MAX(AC4:AG4),IF(B4="SG",MAX(AH4:AM4),IF(B4="SF",MAX(AN4:AS4),IF(B4="PF",MAX(AT4:AY4),MAX(AZ4:BF4)))))</x:f>
        <x:v>92.07800000000002</x:v>
      </x:c>
      <x:c r="G4" s="54" t="n">
        <x:f>D4*0.70</x:f>
        <x:v>62.008800000000015</x:v>
      </x:c>
      <x:c r="H4" s="54" t="n">
        <x:f>F4*0.30</x:f>
        <x:v>27.623400000000004</x:v>
      </x:c>
      <x:c r="I4" s="54" t="n">
        <x:f>G4+H4</x:f>
        <x:v>89.63220000000001</x:v>
      </x:c>
      <x:c r="J4" s="54" t="n">
        <x:f>MIN(D4+6,MAX(D4-2,I4))</x:f>
        <x:v>89.63220000000001</x:v>
      </x:c>
      <x:c r="K4" s="54" t="n">
        <x:f>ROUND(MAX(25,MIN(99,J4)),0)</x:f>
        <x:v>90</x:v>
      </x:c>
      <x:c r="L4" s="54" t="n">
        <x:f>K4-C4</x:f>
        <x:v>1</x:v>
      </x:c>
      <x:c r="M4" s="54" t="str">
        <x:f>IF(ABS(L4)&lt;=1,"On target",IF(L4&lt;-3,"Below target - review archetype/attributes/caps",IF(L4&gt;3,"Above target - review attributes/weights","Close")))</x:f>
        <x:v>On target</x:v>
      </x:c>
      <x:c r="N4" s="54" t="n">
        <x:f>'Santurce Attribute Matrix'!D$13*0.42+'Santurce Attribute Matrix'!D$12*0.18+'Santurce Attribute Matrix'!D$14*0.08+'Santurce Attribute Matrix'!D$16*0.22+'Santurce Attribute Matrix'!D$30*0.1</x:f>
        <x:v>95.88</x:v>
      </x:c>
      <x:c r="O4" s="54" t="n">
        <x:f>'Santurce Attribute Matrix'!D$13*0.35+'Santurce Attribute Matrix'!D$16*0.35+'Santurce Attribute Matrix'!D$29*0.12+'Santurce Attribute Matrix'!D$30*0.1+'Santurce Attribute Matrix'!D$12*0.08</x:f>
        <x:v>95.46000000000001</x:v>
      </x:c>
      <x:c r="P4" s="54" t="n">
        <x:f>'Santurce Attribute Matrix'!D$15*0.35+'Santurce Attribute Matrix'!D$18*0.22+'Santurce Attribute Matrix'!D$12*0.18+'Santurce Attribute Matrix'!D$13*0.1+'Santurce Attribute Matrix'!D$7*0.08+'Santurce Attribute Matrix'!D$11*0.07</x:f>
        <x:v>95.43</x:v>
      </x:c>
      <x:c r="Q4" s="54" t="n">
        <x:f>'Santurce Attribute Matrix'!D$7*0.34+'Santurce Attribute Matrix'!D$11*0.22+'Santurce Attribute Matrix'!D$25*0.15+'Santurce Attribute Matrix'!D$26*0.12+'Santurce Attribute Matrix'!D$6*0.1+'Santurce Attribute Matrix'!D$8*0.07</x:f>
        <x:v>85.28</x:v>
      </x:c>
      <x:c r="R4" s="54" t="n">
        <x:f>'Santurce Attribute Matrix'!D$17*0.45+'Santurce Attribute Matrix'!D$18*0.25+'Santurce Attribute Matrix'!D$30*0.25+'Santurce Attribute Matrix'!D$15*0.05</x:f>
        <x:v>92.95</x:v>
      </x:c>
      <x:c r="S4" s="54" t="n">
        <x:f>'Santurce Attribute Matrix'!D$17*0.38+'Santurce Attribute Matrix'!D$18*0.27+'Santurce Attribute Matrix'!D$30*0.25+'Santurce Attribute Matrix'!D$15*0.1</x:f>
        <x:v>93.52000000000001</x:v>
      </x:c>
      <x:c r="T4" s="54" t="n">
        <x:f>'Santurce Attribute Matrix'!D$17*0.42+'Santurce Attribute Matrix'!D$30*0.32+'Santurce Attribute Matrix'!D$10*0.16+'Santurce Attribute Matrix'!D$18*0.1</x:f>
        <x:v>84.68</x:v>
      </x:c>
      <x:c r="U4" s="54" t="n">
        <x:f>'Santurce Attribute Matrix'!D$20*0.44+'Santurce Attribute Matrix'!D$31*0.24+'Santurce Attribute Matrix'!D$21*0.14+'Santurce Attribute Matrix'!D$25*0.06+'Santurce Attribute Matrix'!D$27*0.06+'Santurce Attribute Matrix'!D$33*0.06</x:f>
        <x:v>78.58</x:v>
      </x:c>
      <x:c r="V4" s="54" t="n">
        <x:f>'Santurce Attribute Matrix'!D$20*0.32+'Santurce Attribute Matrix'!D$31*0.24+'Santurce Attribute Matrix'!D$27*0.13+'Santurce Attribute Matrix'!D$21*0.12+'Santurce Attribute Matrix'!D$22*0.08+'Santurce Attribute Matrix'!D$25*0.06+'Santurce Attribute Matrix'!D$33*0.05</x:f>
        <x:v>72.75</x:v>
      </x:c>
      <x:c r="W4" s="54" t="n">
        <x:f>'Santurce Attribute Matrix'!D$19*0.34+'Santurce Attribute Matrix'!D$31*0.24+'Santurce Attribute Matrix'!D$22*0.2+'Santurce Attribute Matrix'!D$27*0.1+'Santurce Attribute Matrix'!D$24*0.08+'Santurce Attribute Matrix'!D$33*0.04</x:f>
        <x:v>51.839999999999996</x:v>
      </x:c>
      <x:c r="X4" s="54" t="n">
        <x:f>'Santurce Attribute Matrix'!D$24*0.5+'Santurce Attribute Matrix'!D$23*0.25+'Santurce Attribute Matrix'!D$27*0.1+'Santurce Attribute Matrix'!D$28*0.08+'Santurce Attribute Matrix'!D$33*0.07</x:f>
        <x:v>51.21</x:v>
      </x:c>
      <x:c r="Y4" s="54" t="n">
        <x:f>'Santurce Attribute Matrix'!D$25*0.28+'Santurce Attribute Matrix'!D$26*0.25+'Santurce Attribute Matrix'!D$29*0.22+'Santurce Attribute Matrix'!D$28*0.12+'Santurce Attribute Matrix'!D$27*0.13</x:f>
        <x:v>84.04</x:v>
      </x:c>
      <x:c r="Z4" s="54" t="n">
        <x:f>'Santurce Attribute Matrix'!D$6*0.24+'Santurce Attribute Matrix'!D$10*0.24+'Santurce Attribute Matrix'!D$9*0.16+'Santurce Attribute Matrix'!D$7*0.12+'Santurce Attribute Matrix'!D$11*0.12+'Santurce Attribute Matrix'!D$27*0.08+'Santurce Attribute Matrix'!D$30*0.04</x:f>
        <x:v>64.48</x:v>
      </x:c>
      <x:c r="AA4" s="54" t="n">
        <x:f>'Santurce Attribute Matrix'!D$13*0.36+'Santurce Attribute Matrix'!D$12*0.18+'Santurce Attribute Matrix'!D$16*0.16+'Santurce Attribute Matrix'!D$14*0.1+'Santurce Attribute Matrix'!D$30*0.12+'Santurce Attribute Matrix'!D$15*0.08</x:f>
        <x:v>95.9</x:v>
      </x:c>
      <x:c r="AB4" s="54" t="n">
        <x:f>'Santurce Attribute Matrix'!D$30*0.34+'Santurce Attribute Matrix'!D$31*0.24+'Santurce Attribute Matrix'!D$32*0.24+'Santurce Attribute Matrix'!D$33*0.18</x:f>
        <x:v>89.02</x:v>
      </x:c>
      <x:c r="AC4" s="54" t="n">
        <x:f>R4*0.45+N4*0.14+P4*0.13+U4*0.1+Y4*0.06+AB4*0.12</x:f>
        <x:v>91.2394</x:v>
      </x:c>
      <x:c r="AD4" s="54" t="n">
        <x:f>P4*0.34+Q4*0.22+N4*0.2+R4*0.1+Y4*0.08+AB4*0.06</x:f>
        <x:v>91.74320000000002</x:v>
      </x:c>
      <x:c r="AE4" s="54" t="n">
        <x:f>U4*0.38+R4*0.22+Y4*0.14+N4*0.12+P4*0.08+AB4*0.06</x:f>
        <x:v>86.5562</x:v>
      </x:c>
      <x:c r="AF4" s="54" t="n">
        <x:f>X4*0.24+U4*0.2+Y4*0.16+R4*0.18+Q4*0.12+N4*0.1</x:f>
        <x:v>78.0054</x:v>
      </x:c>
      <x:c r="AG4" s="54" t="n">
        <x:f>O4*0.35+N4*0.24+R4*0.14+U4*0.1+Y4*0.07+AB4*0.1</x:f>
        <x:v>92.07800000000002</x:v>
      </x:c>
      <x:c r="AH4" s="54" t="n">
        <x:f>O4*0.44+N4*0.26+P4*0.12+U4*0.07+Y4*0.04+AB4*0.05+R4*0.02</x:f>
        <x:v>93.55499999999999</x:v>
      </x:c>
      <x:c r="AI4" s="54" t="n">
        <x:f>P4*0.34+N4*0.22+Q4*0.14+O4*0.12+U4*0.08+Y4*0.06+AB4*0.04</x:f>
        <x:v>91.8238</x:v>
      </x:c>
      <x:c r="AJ4" s="54" t="n">
        <x:f>Q4*0.34+P4*0.2+Y4*0.16+U4*0.1+N4*0.1+AB4*0.06+R4*0.04</x:f>
        <x:v>88.03280000000001</x:v>
      </x:c>
      <x:c r="AK4" s="54" t="n">
        <x:f>N4*0.3+O4*0.2+U4*0.26+Y4*0.08+AB4*0.08+P4*0.05+X4*0.03</x:f>
        <x:v>88.4394</x:v>
      </x:c>
      <x:c r="AL4" s="54" t="n">
        <x:f>R4*0.26+P4*0.24+N4*0.18+Q4*0.12+U4*0.1+Y4*0.06+AB4*0.04</x:f>
        <x:v>91.0234</x:v>
      </x:c>
      <x:c r="AM4" s="54" t="n">
        <x:f>X4*0.22+U4*0.18+O4*0.18+P4*0.14+Y4*0.12+N4*0.1+AB4*0.06</x:f>
        <x:v>80.9676</x:v>
      </x:c>
      <x:c r="AN4" s="54" t="n">
        <x:f>P4*0.28+N4*0.22+Q4*0.18+O4*0.12+V4*0.08+Y4*0.07+AB4*0.05</x:f>
        <x:v>90.77340000000001</x:v>
      </x:c>
      <x:c r="AO4" s="54" t="n">
        <x:f>N4*0.28+V4*0.28+O4*0.16+Y4*0.08+X4*0.07+AB4*0.08+P4*0.05</x:f>
        <x:v>84.69100000000002</x:v>
      </x:c>
      <x:c r="AP4" s="54" t="n">
        <x:f>S4*0.32+P4*0.18+N4*0.14+Q4*0.1+V4*0.1+X4*0.07+AB4*0.09</x:f>
        <x:v>87.9265</x:v>
      </x:c>
      <x:c r="AQ4" s="54" t="n">
        <x:f>Q4*0.3+Y4*0.18+P4*0.18+V4*0.12+X4*0.08+N4*0.08+AB4*0.06</x:f>
        <x:v>83.727</x:v>
      </x:c>
      <x:c r="AR4" s="54" t="n">
        <x:f>X4*0.24+V4*0.2+Y4*0.14+Q4*0.12+N4*0.12+S4*0.08+AB4*0.1</x:f>
        <x:v>76.7288</x:v>
      </x:c>
      <x:c r="AS4" s="54" t="n">
        <x:f>O4*0.34+N4*0.24+V4*0.14+P4*0.1+Y4*0.07+X4*0.04+AB4*0.07</x:f>
        <x:v>89.35820000000001</x:v>
      </x:c>
      <x:c r="AT4" s="54" t="n">
        <x:f>AA4*0.32+N4*0.18+X4*0.13+W4*0.13+T4*0.08+Y4*0.06+AB4*0.1</x:f>
        <x:v>82.0617</x:v>
      </x:c>
      <x:c r="AU4" s="54" t="n">
        <x:f>Z4*0.3+X4*0.2+W4*0.16+Q4*0.12+Y4*0.08+T4*0.06+AB4*0.08</x:f>
        <x:v>67.03960000000001</x:v>
      </x:c>
      <x:c r="AV4" s="54" t="n">
        <x:f>W4*0.3+X4*0.28+Y4*0.1+Z4*0.1+T4*0.07+AA4*0.06+AB4*0.09</x:f>
        <x:v>64.4362</x:v>
      </x:c>
      <x:c r="AW4" s="54" t="n">
        <x:f>T4*0.28+AA4*0.16+Z4*0.14+X4*0.14+W4*0.12+AB4*0.1+Y4*0.06</x:f>
        <x:v>75.4162</x:v>
      </x:c>
      <x:c r="AX4" s="54" t="n">
        <x:f>Q4*0.24+Z4*0.24+Y4*0.16+X4*0.14+W4*0.12+AB4*0.06+T4*0.04</x:f>
        <x:v>71.5074</x:v>
      </x:c>
      <x:c r="AY4" s="54" t="n">
        <x:f>V4*0.22+AA4*0.2+Y4*0.14+X4*0.14+T4*0.12+Q4*0.08+AB4*0.1</x:f>
        <x:v>80.00600000000001</x:v>
      </x:c>
      <x:c r="AZ4" s="54" t="n">
        <x:f>W4*0.36+X4*0.22+Y4*0.1+Z4*0.12+T4*0.06+AB4*0.1+AA4*0.04</x:f>
        <x:v>63.888999999999996</x:v>
      </x:c>
      <x:c r="BA4" s="54" t="n">
        <x:f>X4*0.34+W4*0.24+Z4*0.14+Y4*0.1+AB4*0.08+T4*0.06+AA4*0.04</x:f>
        <x:v>63.32260000000001</x:v>
      </x:c>
      <x:c r="BB4" s="54" t="n">
        <x:f>Z4*0.34+X4*0.18+W4*0.16+T4*0.1+AB4*0.08+Y4*0.08+AA4*0.06</x:f>
        <x:v>67.5022</x:v>
      </x:c>
      <x:c r="BC4" s="54" t="n">
        <x:f>AA4*0.3+N4*0.18+W4*0.16+X4*0.14+T4*0.08+Y4*0.05+AB4*0.09</x:f>
        <x:v>80.4804</x:v>
      </x:c>
      <x:c r="BD4" s="54" t="n">
        <x:f>T4*0.3+Z4*0.18+X4*0.16+W4*0.16+AA4*0.08+AB4*0.08+Y4*0.04</x:f>
        <x:v>71.6536</x:v>
      </x:c>
      <x:c r="BE4" s="54" t="n">
        <x:f>Q4*0.24+Z4*0.24+Y4*0.16+X4*0.16+W4*0.12+AB4*0.06+T4*0.02</x:f>
        <x:v>70.83800000000001</x:v>
      </x:c>
      <x:c r="BF4" s="55" t="n">
        <x:f>W4*0.24+V4*0.2+Y4*0.16+X4*0.16+Q4*0.08+T4*0.08+AB4*0.08</x:f>
        <x:v>69.35000000000001</x:v>
      </x:c>
    </x:row>
    <x:row r="5">
      <x:c r="A5" s="53" t="str">
        <x:f>'Santurce Attribute Matrix'!E$1</x:f>
        <x:v>Emmanuel Maldonado</x:v>
      </x:c>
      <x:c r="B5" s="54" t="str">
        <x:f>'Santurce Attribute Matrix'!E$2</x:f>
        <x:v>SG</x:v>
      </x:c>
      <x:c r="C5" s="54" t="n">
        <x:f>'Santurce Attribute Matrix'!E$5</x:f>
        <x:v>76</x:v>
      </x:c>
      <x:c r="D5" s="54" t="n">
        <x:f>IF(B5="PG",'Santurce Attribute Matrix'!E$18*0.12+'Santurce Attribute Matrix'!E$17*0.115+'Santurce Attribute Matrix'!E$30*0.075+'Santurce Attribute Matrix'!E$15*0.07+'Santurce Attribute Matrix'!E$25*0.065+'Santurce Attribute Matrix'!E$13*0.065+'Santurce Attribute Matrix'!E$7*0.055+'Santurce Attribute Matrix'!E$26*0.055+'Santurce Attribute Matrix'!E$20*0.055+'Santurce Attribute Matrix'!E$21*0.04+'Santurce Attribute Matrix'!E$11*0.04+'Santurce Attribute Matrix'!E$14*0.03+'Santurce Attribute Matrix'!E$12*0.03+'Santurce Attribute Matrix'!E$31*0.03+'Santurce Attribute Matrix'!E$32*0.028+'Santurce Attribute Matrix'!E$29*0.025+'Santurce Attribute Matrix'!E$6*0.015+'Santurce Attribute Matrix'!E$16*0.015+'Santurce Attribute Matrix'!E$33*0.015+'Santurce Attribute Matrix'!E$24*0.012+'Santurce Attribute Matrix'!E$27*0.012+'Santurce Attribute Matrix'!E$28*0.008+'Santurce Attribute Matrix'!E$19*0.008+'Santurce Attribute Matrix'!E$23*0.005+'Santurce Attribute Matrix'!E$8*0.005+'Santurce Attribute Matrix'!E$22*0.003+'Santurce Attribute Matrix'!E$10*0.002+'Santurce Attribute Matrix'!E$9*0.002,IF(B5="SG",'Santurce Attribute Matrix'!E$13*0.11+'Santurce Attribute Matrix'!E$15*0.09+'Santurce Attribute Matrix'!E$7*0.07+'Santurce Attribute Matrix'!E$12*0.065+'Santurce Attribute Matrix'!E$16*0.06+'Santurce Attribute Matrix'!E$20*0.06+'Santurce Attribute Matrix'!E$18*0.06+'Santurce Attribute Matrix'!E$30*0.05+'Santurce Attribute Matrix'!E$11*0.05+'Santurce Attribute Matrix'!E$17*0.045+'Santurce Attribute Matrix'!E$14*0.04+'Santurce Attribute Matrix'!E$25*0.04+'Santurce Attribute Matrix'!E$21*0.035+'Santurce Attribute Matrix'!E$26*0.035+'Santurce Attribute Matrix'!E$32*0.035+'Santurce Attribute Matrix'!E$31*0.025+'Santurce Attribute Matrix'!E$29*0.02+'Santurce Attribute Matrix'!E$33*0.02+'Santurce Attribute Matrix'!E$6*0.015+'Santurce Attribute Matrix'!E$27*0.015+'Santurce Attribute Matrix'!E$28*0.015+'Santurce Attribute Matrix'!E$24*0.015+'Santurce Attribute Matrix'!E$19*0.01+'Santurce Attribute Matrix'!E$23*0.005+'Santurce Attribute Matrix'!E$8*0.005+'Santurce Attribute Matrix'!E$22*0.005+'Santurce Attribute Matrix'!E$10*0.003+'Santurce Attribute Matrix'!E$9*0.002,IF(B5="SF",'Santurce Attribute Matrix'!E$20*0.075+'Santurce Attribute Matrix'!E$13*0.075+'Santurce Attribute Matrix'!E$7*0.055+'Santurce Attribute Matrix'!E$15*0.055+'Santurce Attribute Matrix'!E$16*0.055+'Santurce Attribute Matrix'!E$30*0.05+'Santurce Attribute Matrix'!E$31*0.05+'Santurce Attribute Matrix'!E$12*0.05+'Santurce Attribute Matrix'!E$27*0.045+'Santurce Attribute Matrix'!E$25*0.045+'Santurce Attribute Matrix'!E$26*0.04+'Santurce Attribute Matrix'!E$18*0.04+'Santurce Attribute Matrix'!E$24*0.04+'Santurce Attribute Matrix'!E$11*0.04+'Santurce Attribute Matrix'!E$21*0.035+'Santurce Attribute Matrix'!E$14*0.03+'Santurce Attribute Matrix'!E$28*0.025+'Santurce Attribute Matrix'!E$17*0.025+'Santurce Attribute Matrix'!E$29*0.025+'Santurce Attribute Matrix'!E$32*0.025+'Santurce Attribute Matrix'!E$33*0.025+'Santurce Attribute Matrix'!E$6*0.02+'Santurce Attribute Matrix'!E$19*0.02+'Santurce Attribute Matrix'!E$23*0.015+'Santurce Attribute Matrix'!E$8*0.015+'Santurce Attribute Matrix'!E$22*0.01+'Santurce Attribute Matrix'!E$10*0.008+'Santurce Attribute Matrix'!E$9*0.007,IF(B5="PF",'Santurce Attribute Matrix'!E$19*0.08+'Santurce Attribute Matrix'!E$24*0.075+'Santurce Attribute Matrix'!E$6*0.07+'Santurce Attribute Matrix'!E$27*0.065+'Santurce Attribute Matrix'!E$23*0.06+'Santurce Attribute Matrix'!E$10*0.045+'Santurce Attribute Matrix'!E$31*0.045+'Santurce Attribute Matrix'!E$12*0.045+'Santurce Attribute Matrix'!E$9*0.04+'Santurce Attribute Matrix'!E$11*0.04+'Santurce Attribute Matrix'!E$22*0.04+'Santurce Attribute Matrix'!E$30*0.04+'Santurce Attribute Matrix'!E$33*0.04+'Santurce Attribute Matrix'!E$13*0.04+'Santurce Attribute Matrix'!E$7*0.04+'Santurce Attribute Matrix'!E$28*0.035+'Santurce Attribute Matrix'!E$20*0.03+'Santurce Attribute Matrix'!E$29*0.025+'Santurce Attribute Matrix'!E$14*0.02+'Santurce Attribute Matrix'!E$25*0.02+'Santurce Attribute Matrix'!E$26*0.015+'Santurce Attribute Matrix'!E$17*0.015+'Santurce Attribute Matrix'!E$16*0.015+'Santurce Attribute Matrix'!E$32*0.015+'Santurce Attribute Matrix'!E$8*0.015+'Santurce Attribute Matrix'!E$18*0.01+'Santurce Attribute Matrix'!E$21*0.01+'Santurce Attribute Matrix'!E$15*0.01,'Santurce Attribute Matrix'!E$19*0.11+'Santurce Attribute Matrix'!E$24*0.1+'Santurce Attribute Matrix'!E$6*0.08+'Santurce Attribute Matrix'!E$27*0.075+'Santurce Attribute Matrix'!E$22*0.075+'Santurce Attribute Matrix'!E$23*0.065+'Santurce Attribute Matrix'!E$9*0.055+'Santurce Attribute Matrix'!E$31*0.055+'Santurce Attribute Matrix'!E$10*0.05+'Santurce Attribute Matrix'!E$11*0.045+'Santurce Attribute Matrix'!E$30*0.035+'Santurce Attribute Matrix'!E$28*0.035+'Santurce Attribute Matrix'!E$33*0.035+'Santurce Attribute Matrix'!E$14*0.02+'Santurce Attribute Matrix'!E$29*0.02+'Santurce Attribute Matrix'!E$12*0.02+'Santurce Attribute Matrix'!E$20*0.015+'Santurce Attribute Matrix'!E$13*0.015+'Santurce Attribute Matrix'!E$17*0.015+'Santurce Attribute Matrix'!E$25*0.015+'Santurce Attribute Matrix'!E$26*0.01+'Santurce Attribute Matrix'!E$16*0.01+'Santurce Attribute Matrix'!E$7*0.01+'Santurce Attribute Matrix'!E$8*0.01+'Santurce Attribute Matrix'!E$32*0.01+'Santurce Attribute Matrix'!E$18*0.005+'Santurce Attribute Matrix'!E$21*0.005+'Santurce Attribute Matrix'!E$15*0.005))))</x:f>
        <x:v>75.69000000000001</x:v>
      </x:c>
      <x:c r="E5" s="54" t="str">
        <x:f>IF(B5="PG",INDEX($AC$1:$AG$1,1,MATCH(F5,AC5:AG5,0)),IF(B5="SG",INDEX($AH$1:$AM$1,1,MATCH(F5,AH5:AM5,0)),IF(B5="SF",INDEX($AN$1:$AS$1,1,MATCH(F5,AN5:AS5,0)),IF(B5="PF",INDEX($AT$1:$AY$1,1,MATCH(F5,AT5:AY5,0)),INDEX($AZ$1:$BF$1,1,MATCH(F5,AZ5:BF5,0))))))</x:f>
        <x:v>offScreenShooter</x:v>
      </x:c>
      <x:c r="F5" s="54" t="n">
        <x:f>IF(B5="PG",MAX(AC5:AG5),IF(B5="SG",MAX(AH5:AM5),IF(B5="SF",MAX(AN5:AS5),IF(B5="PF",MAX(AT5:AY5),MAX(AZ5:BF5)))))</x:f>
        <x:v>78.97959999999999</x:v>
      </x:c>
      <x:c r="G5" s="54" t="n">
        <x:f>D5*0.70</x:f>
        <x:v>52.983000000000004</x:v>
      </x:c>
      <x:c r="H5" s="54" t="n">
        <x:f>F5*0.30</x:f>
        <x:v>23.693879999999996</x:v>
      </x:c>
      <x:c r="I5" s="54" t="n">
        <x:f>G5+H5</x:f>
        <x:v>76.67688</x:v>
      </x:c>
      <x:c r="J5" s="54" t="n">
        <x:f>MIN(D5+6,MAX(D5-2,I5))</x:f>
        <x:v>76.67688</x:v>
      </x:c>
      <x:c r="K5" s="54" t="n">
        <x:f>ROUND(MAX(25,MIN(99,J5)),0)</x:f>
        <x:v>77</x:v>
      </x:c>
      <x:c r="L5" s="54" t="n">
        <x:f>K5-C5</x:f>
        <x:v>1</x:v>
      </x:c>
      <x:c r="M5" s="54" t="str">
        <x:f>IF(ABS(L5)&lt;=1,"On target",IF(L5&lt;-3,"Below target - review archetype/attributes/caps",IF(L5&gt;3,"Above target - review attributes/weights","Close")))</x:f>
        <x:v>On target</x:v>
      </x:c>
      <x:c r="N5" s="54" t="n">
        <x:f>'Santurce Attribute Matrix'!E$13*0.42+'Santurce Attribute Matrix'!E$12*0.18+'Santurce Attribute Matrix'!E$14*0.08+'Santurce Attribute Matrix'!E$16*0.22+'Santurce Attribute Matrix'!E$30*0.1</x:f>
        <x:v>80.72</x:v>
      </x:c>
      <x:c r="O5" s="54" t="n">
        <x:f>'Santurce Attribute Matrix'!E$13*0.35+'Santurce Attribute Matrix'!E$16*0.35+'Santurce Attribute Matrix'!E$29*0.12+'Santurce Attribute Matrix'!E$30*0.1+'Santurce Attribute Matrix'!E$12*0.08</x:f>
        <x:v>79.86999999999999</x:v>
      </x:c>
      <x:c r="P5" s="54" t="n">
        <x:f>'Santurce Attribute Matrix'!E$15*0.35+'Santurce Attribute Matrix'!E$18*0.22+'Santurce Attribute Matrix'!E$12*0.18+'Santurce Attribute Matrix'!E$13*0.1+'Santurce Attribute Matrix'!E$7*0.08+'Santurce Attribute Matrix'!E$11*0.07</x:f>
        <x:v>78.97999999999999</x:v>
      </x:c>
      <x:c r="Q5" s="54" t="n">
        <x:f>'Santurce Attribute Matrix'!E$7*0.34+'Santurce Attribute Matrix'!E$11*0.22+'Santurce Attribute Matrix'!E$25*0.15+'Santurce Attribute Matrix'!E$26*0.12+'Santurce Attribute Matrix'!E$6*0.1+'Santurce Attribute Matrix'!E$8*0.07</x:f>
        <x:v>74.12</x:v>
      </x:c>
      <x:c r="R5" s="54" t="n">
        <x:f>'Santurce Attribute Matrix'!E$17*0.45+'Santurce Attribute Matrix'!E$18*0.25+'Santurce Attribute Matrix'!E$30*0.25+'Santurce Attribute Matrix'!E$15*0.05</x:f>
        <x:v>77.65</x:v>
      </x:c>
      <x:c r="S5" s="54" t="n">
        <x:f>'Santurce Attribute Matrix'!E$17*0.38+'Santurce Attribute Matrix'!E$18*0.27+'Santurce Attribute Matrix'!E$30*0.25+'Santurce Attribute Matrix'!E$15*0.1</x:f>
        <x:v>77.9</x:v>
      </x:c>
      <x:c r="T5" s="54" t="n">
        <x:f>'Santurce Attribute Matrix'!E$17*0.42+'Santurce Attribute Matrix'!E$30*0.32+'Santurce Attribute Matrix'!E$10*0.16+'Santurce Attribute Matrix'!E$18*0.1</x:f>
        <x:v>71.06</x:v>
      </x:c>
      <x:c r="U5" s="54" t="n">
        <x:f>'Santurce Attribute Matrix'!E$20*0.44+'Santurce Attribute Matrix'!E$31*0.24+'Santurce Attribute Matrix'!E$21*0.14+'Santurce Attribute Matrix'!E$25*0.06+'Santurce Attribute Matrix'!E$27*0.06+'Santurce Attribute Matrix'!E$33*0.06</x:f>
        <x:v>71.98</x:v>
      </x:c>
      <x:c r="V5" s="54" t="n">
        <x:f>'Santurce Attribute Matrix'!E$20*0.32+'Santurce Attribute Matrix'!E$31*0.24+'Santurce Attribute Matrix'!E$27*0.13+'Santurce Attribute Matrix'!E$21*0.12+'Santurce Attribute Matrix'!E$22*0.08+'Santurce Attribute Matrix'!E$25*0.06+'Santurce Attribute Matrix'!E$33*0.05</x:f>
        <x:v>68.21999999999998</x:v>
      </x:c>
      <x:c r="W5" s="54" t="n">
        <x:f>'Santurce Attribute Matrix'!E$19*0.34+'Santurce Attribute Matrix'!E$31*0.24+'Santurce Attribute Matrix'!E$22*0.2+'Santurce Attribute Matrix'!E$27*0.1+'Santurce Attribute Matrix'!E$24*0.08+'Santurce Attribute Matrix'!E$33*0.04</x:f>
        <x:v>54.3</x:v>
      </x:c>
      <x:c r="X5" s="54" t="n">
        <x:f>'Santurce Attribute Matrix'!E$24*0.5+'Santurce Attribute Matrix'!E$23*0.25+'Santurce Attribute Matrix'!E$27*0.1+'Santurce Attribute Matrix'!E$28*0.08+'Santurce Attribute Matrix'!E$33*0.07</x:f>
        <x:v>51.97</x:v>
      </x:c>
      <x:c r="Y5" s="54" t="n">
        <x:f>'Santurce Attribute Matrix'!E$25*0.28+'Santurce Attribute Matrix'!E$26*0.25+'Santurce Attribute Matrix'!E$29*0.22+'Santurce Attribute Matrix'!E$28*0.12+'Santurce Attribute Matrix'!E$27*0.13</x:f>
        <x:v>74.76</x:v>
      </x:c>
      <x:c r="Z5" s="54" t="n">
        <x:f>'Santurce Attribute Matrix'!E$6*0.24+'Santurce Attribute Matrix'!E$10*0.24+'Santurce Attribute Matrix'!E$9*0.16+'Santurce Attribute Matrix'!E$7*0.12+'Santurce Attribute Matrix'!E$11*0.12+'Santurce Attribute Matrix'!E$27*0.08+'Santurce Attribute Matrix'!E$30*0.04</x:f>
        <x:v>56.96</x:v>
      </x:c>
      <x:c r="AA5" s="54" t="n">
        <x:f>'Santurce Attribute Matrix'!E$13*0.36+'Santurce Attribute Matrix'!E$12*0.18+'Santurce Attribute Matrix'!E$16*0.16+'Santurce Attribute Matrix'!E$14*0.1+'Santurce Attribute Matrix'!E$30*0.12+'Santurce Attribute Matrix'!E$15*0.08</x:f>
        <x:v>80.38</x:v>
      </x:c>
      <x:c r="AB5" s="54" t="n">
        <x:f>'Santurce Attribute Matrix'!E$30*0.34+'Santurce Attribute Matrix'!E$31*0.24+'Santurce Attribute Matrix'!E$32*0.24+'Santurce Attribute Matrix'!E$33*0.18</x:f>
        <x:v>75.8</x:v>
      </x:c>
      <x:c r="AC5" s="54" t="n">
        <x:f>R5*0.45+N5*0.14+P5*0.13+U5*0.1+Y5*0.06+AB5*0.12</x:f>
        <x:v>77.2903</x:v>
      </x:c>
      <x:c r="AD5" s="54" t="n">
        <x:f>P5*0.34+Q5*0.22+N5*0.2+R5*0.1+Y5*0.08+AB5*0.06</x:f>
        <x:v>77.59740000000001</x:v>
      </x:c>
      <x:c r="AE5" s="54" t="n">
        <x:f>U5*0.38+R5*0.22+Y5*0.14+N5*0.12+P5*0.08+AB5*0.06</x:f>
        <x:v>75.4546</x:v>
      </x:c>
      <x:c r="AF5" s="54" t="n">
        <x:f>X5*0.24+U5*0.2+Y5*0.16+R5*0.18+Q5*0.12+N5*0.1</x:f>
        <x:v>69.77380000000001</x:v>
      </x:c>
      <x:c r="AG5" s="54" t="n">
        <x:f>O5*0.35+N5*0.24+R5*0.14+U5*0.1+Y5*0.07+AB5*0.1</x:f>
        <x:v>78.20949999999999</x:v>
      </x:c>
      <x:c r="AH5" s="54" t="n">
        <x:f>O5*0.44+N5*0.26+P5*0.12+U5*0.07+Y5*0.04+AB5*0.05+R5*0.02</x:f>
        <x:v>78.97959999999999</x:v>
      </x:c>
      <x:c r="AI5" s="54" t="n">
        <x:f>P5*0.34+N5*0.22+Q5*0.14+O5*0.12+U5*0.08+Y5*0.06+AB5*0.04</x:f>
        <x:v>77.8488</x:v>
      </x:c>
      <x:c r="AJ5" s="54" t="n">
        <x:f>Q5*0.34+P5*0.2+Y5*0.16+U5*0.1+N5*0.1+AB5*0.06+R5*0.04</x:f>
        <x:v>75.8824</x:v>
      </x:c>
      <x:c r="AK5" s="54" t="n">
        <x:f>N5*0.3+O5*0.2+U5*0.26+Y5*0.08+AB5*0.08+P5*0.05+X5*0.03</x:f>
        <x:v>76.4577</x:v>
      </x:c>
      <x:c r="AL5" s="54" t="n">
        <x:f>R5*0.26+P5*0.24+N5*0.18+Q5*0.12+U5*0.1+Y5*0.06+AB5*0.04</x:f>
        <x:v>77.2838</x:v>
      </x:c>
      <x:c r="AM5" s="54" t="n">
        <x:f>X5*0.22+U5*0.18+O5*0.18+P5*0.14+Y5*0.12+N5*0.1+AB5*0.06</x:f>
        <x:v>71.4148</x:v>
      </x:c>
      <x:c r="AN5" s="54" t="n">
        <x:f>P5*0.28+N5*0.22+Q5*0.18+O5*0.12+V5*0.08+Y5*0.07+AB5*0.05</x:f>
        <x:v>77.2796</x:v>
      </x:c>
      <x:c r="AO5" s="54" t="n">
        <x:f>N5*0.28+V5*0.28+O5*0.16+Y5*0.08+X5*0.07+AB5*0.08+P5*0.05</x:f>
        <x:v>74.1141</x:v>
      </x:c>
      <x:c r="AP5" s="54" t="n">
        <x:f>S5*0.32+P5*0.18+N5*0.14+Q5*0.1+V5*0.1+X5*0.07+AB5*0.09</x:f>
        <x:v>75.1391</x:v>
      </x:c>
      <x:c r="AQ5" s="54" t="n">
        <x:f>Q5*0.3+Y5*0.18+P5*0.18+V5*0.12+X5*0.08+N5*0.08+AB5*0.06</x:f>
        <x:v>73.25880000000001</x:v>
      </x:c>
      <x:c r="AR5" s="54" t="n">
        <x:f>X5*0.24+V5*0.2+Y5*0.14+Q5*0.12+N5*0.12+S5*0.08+AB5*0.1</x:f>
        <x:v>68.976</x:v>
      </x:c>
      <x:c r="AS5" s="54" t="n">
        <x:f>O5*0.34+N5*0.24+V5*0.14+P5*0.1+Y5*0.07+X5*0.04+AB5*0.07</x:f>
        <x:v>76.59539999999998</x:v>
      </x:c>
      <x:c r="AT5" s="54" t="n">
        <x:f>AA5*0.32+N5*0.18+X5*0.13+W5*0.13+T5*0.08+Y5*0.06+AB5*0.1</x:f>
        <x:v>71.8167</x:v>
      </x:c>
      <x:c r="AU5" s="54" t="n">
        <x:f>Z5*0.3+X5*0.2+W5*0.16+Q5*0.12+Y5*0.08+T5*0.06+AB5*0.08</x:f>
        <x:v>61.372800000000005</x:v>
      </x:c>
      <x:c r="AV5" s="54" t="n">
        <x:f>W5*0.3+X5*0.28+Y5*0.1+Z5*0.1+T5*0.07+AA5*0.06+AB5*0.09</x:f>
        <x:v>60.6326</x:v>
      </x:c>
      <x:c r="AW5" s="54" t="n">
        <x:f>T5*0.28+AA5*0.16+Z5*0.14+X5*0.14+W5*0.12+AB5*0.1+Y5*0.06</x:f>
        <x:v>66.5894</x:v>
      </x:c>
      <x:c r="AX5" s="54" t="n">
        <x:f>Q5*0.24+Z5*0.24+Y5*0.16+X5*0.14+W5*0.12+AB5*0.06+T5*0.04</x:f>
        <x:v>64.60300000000001</x:v>
      </x:c>
      <x:c r="AY5" s="54" t="n">
        <x:f>V5*0.22+AA5*0.2+Y5*0.14+X5*0.14+T5*0.12+Q5*0.08+AB5*0.1</x:f>
        <x:v>70.8634</x:v>
      </x:c>
      <x:c r="AZ5" s="54" t="n">
        <x:f>W5*0.36+X5*0.22+Y5*0.1+Z5*0.12+T5*0.06+AB5*0.1+AA5*0.04</x:f>
        <x:v>60.351400000000005</x:v>
      </x:c>
      <x:c r="BA5" s="54" t="n">
        <x:f>X5*0.34+W5*0.24+Z5*0.14+Y5*0.1+AB5*0.08+T5*0.06+AA5*0.04</x:f>
        <x:v>59.695</x:v>
      </x:c>
      <x:c r="BB5" s="54" t="n">
        <x:f>Z5*0.34+X5*0.18+W5*0.16+T5*0.1+AB5*0.08+Y5*0.08+AA5*0.06</x:f>
        <x:v>61.38260000000001</x:v>
      </x:c>
      <x:c r="BC5" s="54" t="n">
        <x:f>AA5*0.3+N5*0.18+W5*0.16+X5*0.14+T5*0.08+Y5*0.05+AB5*0.09</x:f>
        <x:v>70.85220000000001</x:v>
      </x:c>
      <x:c r="BD5" s="54" t="n">
        <x:f>T5*0.3+Z5*0.18+X5*0.16+W5*0.16+AA5*0.08+AB5*0.08+Y5*0.04</x:f>
        <x:v>64.0588</x:v>
      </x:c>
      <x:c r="BE5" s="54" t="n">
        <x:f>Q5*0.24+Z5*0.24+Y5*0.16+X5*0.16+W5*0.12+AB5*0.06+T5*0.02</x:f>
        <x:v>64.22120000000001</x:v>
      </x:c>
      <x:c r="BF5" s="55" t="n">
        <x:f>W5*0.24+V5*0.2+Y5*0.16+X5*0.16+Q5*0.08+T5*0.08+AB5*0.08</x:f>
        <x:v>64.6312</x:v>
      </x:c>
    </x:row>
    <x:row r="6">
      <x:c r="A6" s="53" t="str">
        <x:f>'Santurce Attribute Matrix'!F$1</x:f>
        <x:v>David Huertas</x:v>
      </x:c>
      <x:c r="B6" s="54" t="str">
        <x:f>'Santurce Attribute Matrix'!F$2</x:f>
        <x:v>SG</x:v>
      </x:c>
      <x:c r="C6" s="54" t="n">
        <x:f>'Santurce Attribute Matrix'!F$5</x:f>
        <x:v>71</x:v>
      </x:c>
      <x:c r="D6" s="54" t="n">
        <x:f>IF(B6="PG",'Santurce Attribute Matrix'!F$18*0.12+'Santurce Attribute Matrix'!F$17*0.115+'Santurce Attribute Matrix'!F$30*0.075+'Santurce Attribute Matrix'!F$15*0.07+'Santurce Attribute Matrix'!F$25*0.065+'Santurce Attribute Matrix'!F$13*0.065+'Santurce Attribute Matrix'!F$7*0.055+'Santurce Attribute Matrix'!F$26*0.055+'Santurce Attribute Matrix'!F$20*0.055+'Santurce Attribute Matrix'!F$21*0.04+'Santurce Attribute Matrix'!F$11*0.04+'Santurce Attribute Matrix'!F$14*0.03+'Santurce Attribute Matrix'!F$12*0.03+'Santurce Attribute Matrix'!F$31*0.03+'Santurce Attribute Matrix'!F$32*0.028+'Santurce Attribute Matrix'!F$29*0.025+'Santurce Attribute Matrix'!F$6*0.015+'Santurce Attribute Matrix'!F$16*0.015+'Santurce Attribute Matrix'!F$33*0.015+'Santurce Attribute Matrix'!F$24*0.012+'Santurce Attribute Matrix'!F$27*0.012+'Santurce Attribute Matrix'!F$28*0.008+'Santurce Attribute Matrix'!F$19*0.008+'Santurce Attribute Matrix'!F$23*0.005+'Santurce Attribute Matrix'!F$8*0.005+'Santurce Attribute Matrix'!F$22*0.003+'Santurce Attribute Matrix'!F$10*0.002+'Santurce Attribute Matrix'!F$9*0.002,IF(B6="SG",'Santurce Attribute Matrix'!F$13*0.11+'Santurce Attribute Matrix'!F$15*0.09+'Santurce Attribute Matrix'!F$7*0.07+'Santurce Attribute Matrix'!F$12*0.065+'Santurce Attribute Matrix'!F$16*0.06+'Santurce Attribute Matrix'!F$20*0.06+'Santurce Attribute Matrix'!F$18*0.06+'Santurce Attribute Matrix'!F$30*0.05+'Santurce Attribute Matrix'!F$11*0.05+'Santurce Attribute Matrix'!F$17*0.045+'Santurce Attribute Matrix'!F$14*0.04+'Santurce Attribute Matrix'!F$25*0.04+'Santurce Attribute Matrix'!F$21*0.035+'Santurce Attribute Matrix'!F$26*0.035+'Santurce Attribute Matrix'!F$32*0.035+'Santurce Attribute Matrix'!F$31*0.025+'Santurce Attribute Matrix'!F$29*0.02+'Santurce Attribute Matrix'!F$33*0.02+'Santurce Attribute Matrix'!F$6*0.015+'Santurce Attribute Matrix'!F$27*0.015+'Santurce Attribute Matrix'!F$28*0.015+'Santurce Attribute Matrix'!F$24*0.015+'Santurce Attribute Matrix'!F$19*0.01+'Santurce Attribute Matrix'!F$23*0.005+'Santurce Attribute Matrix'!F$8*0.005+'Santurce Attribute Matrix'!F$22*0.005+'Santurce Attribute Matrix'!F$10*0.003+'Santurce Attribute Matrix'!F$9*0.002,IF(B6="SF",'Santurce Attribute Matrix'!F$20*0.075+'Santurce Attribute Matrix'!F$13*0.075+'Santurce Attribute Matrix'!F$7*0.055+'Santurce Attribute Matrix'!F$15*0.055+'Santurce Attribute Matrix'!F$16*0.055+'Santurce Attribute Matrix'!F$30*0.05+'Santurce Attribute Matrix'!F$31*0.05+'Santurce Attribute Matrix'!F$12*0.05+'Santurce Attribute Matrix'!F$27*0.045+'Santurce Attribute Matrix'!F$25*0.045+'Santurce Attribute Matrix'!F$26*0.04+'Santurce Attribute Matrix'!F$18*0.04+'Santurce Attribute Matrix'!F$24*0.04+'Santurce Attribute Matrix'!F$11*0.04+'Santurce Attribute Matrix'!F$21*0.035+'Santurce Attribute Matrix'!F$14*0.03+'Santurce Attribute Matrix'!F$28*0.025+'Santurce Attribute Matrix'!F$17*0.025+'Santurce Attribute Matrix'!F$29*0.025+'Santurce Attribute Matrix'!F$32*0.025+'Santurce Attribute Matrix'!F$33*0.025+'Santurce Attribute Matrix'!F$6*0.02+'Santurce Attribute Matrix'!F$19*0.02+'Santurce Attribute Matrix'!F$23*0.015+'Santurce Attribute Matrix'!F$8*0.015+'Santurce Attribute Matrix'!F$22*0.01+'Santurce Attribute Matrix'!F$10*0.008+'Santurce Attribute Matrix'!F$9*0.007,IF(B6="PF",'Santurce Attribute Matrix'!F$19*0.08+'Santurce Attribute Matrix'!F$24*0.075+'Santurce Attribute Matrix'!F$6*0.07+'Santurce Attribute Matrix'!F$27*0.065+'Santurce Attribute Matrix'!F$23*0.06+'Santurce Attribute Matrix'!F$10*0.045+'Santurce Attribute Matrix'!F$31*0.045+'Santurce Attribute Matrix'!F$12*0.045+'Santurce Attribute Matrix'!F$9*0.04+'Santurce Attribute Matrix'!F$11*0.04+'Santurce Attribute Matrix'!F$22*0.04+'Santurce Attribute Matrix'!F$30*0.04+'Santurce Attribute Matrix'!F$33*0.04+'Santurce Attribute Matrix'!F$13*0.04+'Santurce Attribute Matrix'!F$7*0.04+'Santurce Attribute Matrix'!F$28*0.035+'Santurce Attribute Matrix'!F$20*0.03+'Santurce Attribute Matrix'!F$29*0.025+'Santurce Attribute Matrix'!F$14*0.02+'Santurce Attribute Matrix'!F$25*0.02+'Santurce Attribute Matrix'!F$26*0.015+'Santurce Attribute Matrix'!F$17*0.015+'Santurce Attribute Matrix'!F$16*0.015+'Santurce Attribute Matrix'!F$32*0.015+'Santurce Attribute Matrix'!F$8*0.015+'Santurce Attribute Matrix'!F$18*0.01+'Santurce Attribute Matrix'!F$21*0.01+'Santurce Attribute Matrix'!F$15*0.01,'Santurce Attribute Matrix'!F$19*0.11+'Santurce Attribute Matrix'!F$24*0.1+'Santurce Attribute Matrix'!F$6*0.08+'Santurce Attribute Matrix'!F$27*0.075+'Santurce Attribute Matrix'!F$22*0.075+'Santurce Attribute Matrix'!F$23*0.065+'Santurce Attribute Matrix'!F$9*0.055+'Santurce Attribute Matrix'!F$31*0.055+'Santurce Attribute Matrix'!F$10*0.05+'Santurce Attribute Matrix'!F$11*0.045+'Santurce Attribute Matrix'!F$30*0.035+'Santurce Attribute Matrix'!F$28*0.035+'Santurce Attribute Matrix'!F$33*0.035+'Santurce Attribute Matrix'!F$14*0.02+'Santurce Attribute Matrix'!F$29*0.02+'Santurce Attribute Matrix'!F$12*0.02+'Santurce Attribute Matrix'!F$20*0.015+'Santurce Attribute Matrix'!F$13*0.015+'Santurce Attribute Matrix'!F$17*0.015+'Santurce Attribute Matrix'!F$25*0.015+'Santurce Attribute Matrix'!F$26*0.01+'Santurce Attribute Matrix'!F$16*0.01+'Santurce Attribute Matrix'!F$7*0.01+'Santurce Attribute Matrix'!F$8*0.01+'Santurce Attribute Matrix'!F$32*0.01+'Santurce Attribute Matrix'!F$18*0.005+'Santurce Attribute Matrix'!F$21*0.005+'Santurce Attribute Matrix'!F$15*0.005))))</x:f>
        <x:v>70.96000000000001</x:v>
      </x:c>
      <x:c r="E6" s="54" t="str">
        <x:f>IF(B6="PG",INDEX($AC$1:$AG$1,1,MATCH(F6,AC6:AG6,0)),IF(B6="SG",INDEX($AH$1:$AM$1,1,MATCH(F6,AH6:AM6,0)),IF(B6="SF",INDEX($AN$1:$AS$1,1,MATCH(F6,AN6:AS6,0)),IF(B6="PF",INDEX($AT$1:$AY$1,1,MATCH(F6,AT6:AY6,0)),INDEX($AZ$1:$BF$1,1,MATCH(F6,AZ6:BF6,0))))))</x:f>
        <x:v>offScreenShooter</x:v>
      </x:c>
      <x:c r="F6" s="54" t="n">
        <x:f>IF(B6="PG",MAX(AC6:AG6),IF(B6="SG",MAX(AH6:AM6),IF(B6="SF",MAX(AN6:AS6),IF(B6="PF",MAX(AT6:AY6),MAX(AZ6:BF6)))))</x:f>
        <x:v>78.31199999999998</x:v>
      </x:c>
      <x:c r="G6" s="54" t="n">
        <x:f>D6*0.70</x:f>
        <x:v>49.672000000000004</x:v>
      </x:c>
      <x:c r="H6" s="54" t="n">
        <x:f>F6*0.30</x:f>
        <x:v>23.493599999999994</x:v>
      </x:c>
      <x:c r="I6" s="54" t="n">
        <x:f>G6+H6</x:f>
        <x:v>73.1656</x:v>
      </x:c>
      <x:c r="J6" s="54" t="n">
        <x:f>MIN(D6+6,MAX(D6-2,I6))</x:f>
        <x:v>73.1656</x:v>
      </x:c>
      <x:c r="K6" s="54" t="n">
        <x:f>ROUND(MAX(25,MIN(99,J6)),0)</x:f>
        <x:v>73</x:v>
      </x:c>
      <x:c r="L6" s="54" t="n">
        <x:f>K6-C6</x:f>
        <x:v>2</x:v>
      </x:c>
      <x:c r="M6" s="54" t="str">
        <x:f>IF(ABS(L6)&lt;=1,"On target",IF(L6&lt;-3,"Below target - review archetype/attributes/caps",IF(L6&gt;3,"Above target - review attributes/weights","Close")))</x:f>
        <x:v>Close</x:v>
      </x:c>
      <x:c r="N6" s="54" t="n">
        <x:f>'Santurce Attribute Matrix'!F$13*0.42+'Santurce Attribute Matrix'!F$12*0.18+'Santurce Attribute Matrix'!F$14*0.08+'Santurce Attribute Matrix'!F$16*0.22+'Santurce Attribute Matrix'!F$30*0.1</x:f>
        <x:v>82.03999999999999</x:v>
      </x:c>
      <x:c r="O6" s="54" t="n">
        <x:f>'Santurce Attribute Matrix'!F$13*0.35+'Santurce Attribute Matrix'!F$16*0.35+'Santurce Attribute Matrix'!F$29*0.12+'Santurce Attribute Matrix'!F$30*0.1+'Santurce Attribute Matrix'!F$12*0.08</x:f>
        <x:v>81.03999999999999</x:v>
      </x:c>
      <x:c r="P6" s="54" t="n">
        <x:f>'Santurce Attribute Matrix'!F$15*0.35+'Santurce Attribute Matrix'!F$18*0.22+'Santurce Attribute Matrix'!F$12*0.18+'Santurce Attribute Matrix'!F$13*0.1+'Santurce Attribute Matrix'!F$7*0.08+'Santurce Attribute Matrix'!F$11*0.07</x:f>
        <x:v>72.77</x:v>
      </x:c>
      <x:c r="Q6" s="54" t="n">
        <x:f>'Santurce Attribute Matrix'!F$7*0.34+'Santurce Attribute Matrix'!F$11*0.22+'Santurce Attribute Matrix'!F$25*0.15+'Santurce Attribute Matrix'!F$26*0.12+'Santurce Attribute Matrix'!F$6*0.1+'Santurce Attribute Matrix'!F$8*0.07</x:f>
        <x:v>61.410000000000004</x:v>
      </x:c>
      <x:c r="R6" s="54" t="n">
        <x:f>'Santurce Attribute Matrix'!F$17*0.45+'Santurce Attribute Matrix'!F$18*0.25+'Santurce Attribute Matrix'!F$30*0.25+'Santurce Attribute Matrix'!F$15*0.05</x:f>
        <x:v>74.1</x:v>
      </x:c>
      <x:c r="S6" s="54" t="n">
        <x:f>'Santurce Attribute Matrix'!F$17*0.38+'Santurce Attribute Matrix'!F$18*0.27+'Santurce Attribute Matrix'!F$30*0.25+'Santurce Attribute Matrix'!F$15*0.1</x:f>
        <x:v>74.2</x:v>
      </x:c>
      <x:c r="T6" s="54" t="n">
        <x:f>'Santurce Attribute Matrix'!F$17*0.42+'Santurce Attribute Matrix'!F$30*0.32+'Santurce Attribute Matrix'!F$10*0.16+'Santurce Attribute Matrix'!F$18*0.1</x:f>
        <x:v>71.92</x:v>
      </x:c>
      <x:c r="U6" s="54" t="n">
        <x:f>'Santurce Attribute Matrix'!F$20*0.44+'Santurce Attribute Matrix'!F$31*0.24+'Santurce Attribute Matrix'!F$21*0.14+'Santurce Attribute Matrix'!F$25*0.06+'Santurce Attribute Matrix'!F$27*0.06+'Santurce Attribute Matrix'!F$33*0.06</x:f>
        <x:v>65.9</x:v>
      </x:c>
      <x:c r="V6" s="54" t="n">
        <x:f>'Santurce Attribute Matrix'!F$20*0.32+'Santurce Attribute Matrix'!F$31*0.24+'Santurce Attribute Matrix'!F$27*0.13+'Santurce Attribute Matrix'!F$21*0.12+'Santurce Attribute Matrix'!F$22*0.08+'Santurce Attribute Matrix'!F$25*0.06+'Santurce Attribute Matrix'!F$33*0.05</x:f>
        <x:v>63.11000000000001</x:v>
      </x:c>
      <x:c r="W6" s="54" t="n">
        <x:f>'Santurce Attribute Matrix'!F$19*0.34+'Santurce Attribute Matrix'!F$31*0.24+'Santurce Attribute Matrix'!F$22*0.2+'Santurce Attribute Matrix'!F$27*0.1+'Santurce Attribute Matrix'!F$24*0.08+'Santurce Attribute Matrix'!F$33*0.04</x:f>
        <x:v>54.03999999999999</x:v>
      </x:c>
      <x:c r="X6" s="54" t="n">
        <x:f>'Santurce Attribute Matrix'!F$24*0.5+'Santurce Attribute Matrix'!F$23*0.25+'Santurce Attribute Matrix'!F$27*0.1+'Santurce Attribute Matrix'!F$28*0.08+'Santurce Attribute Matrix'!F$33*0.07</x:f>
        <x:v>47.85</x:v>
      </x:c>
      <x:c r="Y6" s="54" t="n">
        <x:f>'Santurce Attribute Matrix'!F$25*0.28+'Santurce Attribute Matrix'!F$26*0.25+'Santurce Attribute Matrix'!F$29*0.22+'Santurce Attribute Matrix'!F$28*0.12+'Santurce Attribute Matrix'!F$27*0.13</x:f>
        <x:v>60.84</x:v>
      </x:c>
      <x:c r="Z6" s="54" t="n">
        <x:f>'Santurce Attribute Matrix'!F$6*0.24+'Santurce Attribute Matrix'!F$10*0.24+'Santurce Attribute Matrix'!F$9*0.16+'Santurce Attribute Matrix'!F$7*0.12+'Santurce Attribute Matrix'!F$11*0.12+'Santurce Attribute Matrix'!F$27*0.08+'Santurce Attribute Matrix'!F$30*0.04</x:f>
        <x:v>56.199999999999996</x:v>
      </x:c>
      <x:c r="AA6" s="54" t="n">
        <x:f>'Santurce Attribute Matrix'!F$13*0.36+'Santurce Attribute Matrix'!F$12*0.18+'Santurce Attribute Matrix'!F$16*0.16+'Santurce Attribute Matrix'!F$14*0.1+'Santurce Attribute Matrix'!F$30*0.12+'Santurce Attribute Matrix'!F$15*0.08</x:f>
        <x:v>81.32000000000001</x:v>
      </x:c>
      <x:c r="AB6" s="54" t="n">
        <x:f>'Santurce Attribute Matrix'!F$30*0.34+'Santurce Attribute Matrix'!F$31*0.24+'Santurce Attribute Matrix'!F$32*0.24+'Santurce Attribute Matrix'!F$33*0.18</x:f>
        <x:v>81.26</x:v>
      </x:c>
      <x:c r="AC6" s="54" t="n">
        <x:f>R6*0.45+N6*0.14+P6*0.13+U6*0.1+Y6*0.06+AB6*0.12</x:f>
        <x:v>74.2823</x:v>
      </x:c>
      <x:c r="AD6" s="54" t="n">
        <x:f>P6*0.34+Q6*0.22+N6*0.2+R6*0.1+Y6*0.08+AB6*0.06</x:f>
        <x:v>71.8128</x:v>
      </x:c>
      <x:c r="AE6" s="54" t="n">
        <x:f>U6*0.38+R6*0.22+Y6*0.14+N6*0.12+P6*0.08+AB6*0.06</x:f>
        <x:v>70.40360000000001</x:v>
      </x:c>
      <x:c r="AF6" s="54" t="n">
        <x:f>X6*0.24+U6*0.2+Y6*0.16+R6*0.18+Q6*0.12+N6*0.1</x:f>
        <x:v>63.3096</x:v>
      </x:c>
      <x:c r="AG6" s="54" t="n">
        <x:f>O6*0.35+N6*0.24+R6*0.14+U6*0.1+Y6*0.07+AB6*0.1</x:f>
        <x:v>77.4024</x:v>
      </x:c>
      <x:c r="AH6" s="54" t="n">
        <x:f>O6*0.44+N6*0.26+P6*0.12+U6*0.07+Y6*0.04+AB6*0.05+R6*0.02</x:f>
        <x:v>78.31199999999998</x:v>
      </x:c>
      <x:c r="AI6" s="54" t="n">
        <x:f>P6*0.34+N6*0.22+Q6*0.14+O6*0.12+U6*0.08+Y6*0.06+AB6*0.04</x:f>
        <x:v>73.2856</x:v>
      </x:c>
      <x:c r="AJ6" s="54" t="n">
        <x:f>Q6*0.34+P6*0.2+Y6*0.16+U6*0.1+N6*0.1+AB6*0.06+R6*0.04</x:f>
        <x:v>67.80140000000002</x:v>
      </x:c>
      <x:c r="AK6" s="54" t="n">
        <x:f>N6*0.3+O6*0.2+U6*0.26+Y6*0.08+AB6*0.08+P6*0.05+X6*0.03</x:f>
        <x:v>74.39599999999999</x:v>
      </x:c>
      <x:c r="AL6" s="54" t="n">
        <x:f>R6*0.26+P6*0.24+N6*0.18+Q6*0.12+U6*0.1+Y6*0.06+AB6*0.04</x:f>
        <x:v>72.35799999999999</x:v>
      </x:c>
      <x:c r="AM6" s="54" t="n">
        <x:f>X6*0.22+U6*0.18+O6*0.18+P6*0.14+Y6*0.12+N6*0.1+AB6*0.06</x:f>
        <x:v>67.54440000000001</x:v>
      </x:c>
      <x:c r="AN6" s="54" t="n">
        <x:f>P6*0.28+N6*0.22+Q6*0.18+O6*0.12+V6*0.08+Y6*0.07+AB6*0.05</x:f>
        <x:v>72.57360000000001</x:v>
      </x:c>
      <x:c r="AO6" s="54" t="n">
        <x:f>N6*0.28+V6*0.28+O6*0.16+Y6*0.08+X6*0.07+AB6*0.08+P6*0.05</x:f>
        <x:v>71.9644</x:v>
      </x:c>
      <x:c r="AP6" s="54" t="n">
        <x:f>S6*0.32+P6*0.18+N6*0.14+Q6*0.1+V6*0.1+X6*0.07+AB6*0.09</x:f>
        <x:v>71.4431</x:v>
      </x:c>
      <x:c r="AQ6" s="54" t="n">
        <x:f>Q6*0.3+Y6*0.18+P6*0.18+V6*0.12+X6*0.08+N6*0.08+AB6*0.06</x:f>
        <x:v>65.31280000000001</x:v>
      </x:c>
      <x:c r="AR6" s="54" t="n">
        <x:f>X6*0.24+V6*0.2+Y6*0.14+Q6*0.12+N6*0.12+S6*0.08+AB6*0.1</x:f>
        <x:v>63.89960000000001</x:v>
      </x:c>
      <x:c r="AS6" s="54" t="n">
        <x:f>O6*0.34+N6*0.24+V6*0.14+P6*0.1+Y6*0.07+X6*0.04+AB6*0.07</x:f>
        <x:v>75.2166</x:v>
      </x:c>
      <x:c r="AT6" s="54" t="n">
        <x:f>AA6*0.32+N6*0.18+X6*0.13+W6*0.13+T6*0.08+Y6*0.06+AB6*0.1</x:f>
        <x:v>71.5653</x:v>
      </x:c>
      <x:c r="AU6" s="54" t="n">
        <x:f>Z6*0.3+X6*0.2+W6*0.16+Q6*0.12+Y6*0.08+T6*0.06+AB6*0.08</x:f>
        <x:v>58.12879999999999</x:v>
      </x:c>
      <x:c r="AV6" s="54" t="n">
        <x:f>W6*0.3+X6*0.28+Y6*0.1+Z6*0.1+T6*0.07+AA6*0.06+AB6*0.09</x:f>
        <x:v>58.541</x:v>
      </x:c>
      <x:c r="AW6" s="54" t="n">
        <x:f>T6*0.28+AA6*0.16+Z6*0.14+X6*0.14+W6*0.12+AB6*0.1+Y6*0.06</x:f>
        <x:v>65.97700000000002</x:v>
      </x:c>
      <x:c r="AX6" s="54" t="n">
        <x:f>Q6*0.24+Z6*0.24+Y6*0.16+X6*0.14+W6*0.12+AB6*0.06+T6*0.04</x:f>
        <x:v>58.897</x:v>
      </x:c>
      <x:c r="AY6" s="54" t="n">
        <x:f>V6*0.22+AA6*0.2+Y6*0.14+X6*0.14+T6*0.12+Q6*0.08+AB6*0.1</x:f>
        <x:v>67.034</x:v>
      </x:c>
      <x:c r="AZ6" s="54" t="n">
        <x:f>W6*0.36+X6*0.22+Y6*0.1+Z6*0.12+T6*0.06+AB6*0.1+AA6*0.04</x:f>
        <x:v>58.50339999999999</x:v>
      </x:c>
      <x:c r="BA6" s="54" t="n">
        <x:f>X6*0.34+W6*0.24+Z6*0.14+Y6*0.1+AB6*0.08+T6*0.06+AA6*0.04</x:f>
        <x:v>57.2594</x:v>
      </x:c>
      <x:c r="BB6" s="54" t="n">
        <x:f>Z6*0.34+X6*0.18+W6*0.16+T6*0.1+AB6*0.08+Y6*0.08+AA6*0.06</x:f>
        <x:v>59.80659999999999</x:v>
      </x:c>
      <x:c r="BC6" s="54" t="n">
        <x:f>AA6*0.3+N6*0.18+W6*0.16+X6*0.14+T6*0.08+Y6*0.05+AB6*0.09</x:f>
        <x:v>70.6176</x:v>
      </x:c>
      <x:c r="BD6" s="54" t="n">
        <x:f>T6*0.3+Z6*0.18+X6*0.16+W6*0.16+AA6*0.08+AB6*0.08+Y6*0.04</x:f>
        <x:v>63.4344</x:v>
      </x:c>
      <x:c r="BE6" s="54" t="n">
        <x:f>Q6*0.24+Z6*0.24+Y6*0.16+X6*0.16+W6*0.12+AB6*0.06+T6*0.02</x:f>
        <x:v>58.4156</x:v>
      </x:c>
      <x:c r="BF6" s="55" t="n">
        <x:f>W6*0.24+V6*0.2+Y6*0.16+X6*0.16+Q6*0.08+T6*0.08+AB6*0.08</x:f>
        <x:v>60.1492</x:v>
      </x:c>
    </x:row>
    <x:row r="7">
      <x:c r="A7" s="53" t="str">
        <x:f>'Santurce Attribute Matrix'!G$1</x:f>
        <x:v>Corey McKeithan</x:v>
      </x:c>
      <x:c r="B7" s="54" t="str">
        <x:f>'Santurce Attribute Matrix'!G$2</x:f>
        <x:v>PG</x:v>
      </x:c>
      <x:c r="C7" s="54" t="n">
        <x:f>'Santurce Attribute Matrix'!G$5</x:f>
        <x:v>77</x:v>
      </x:c>
      <x:c r="D7" s="54" t="n">
        <x:f>IF(B7="PG",'Santurce Attribute Matrix'!G$18*0.12+'Santurce Attribute Matrix'!G$17*0.115+'Santurce Attribute Matrix'!G$30*0.075+'Santurce Attribute Matrix'!G$15*0.07+'Santurce Attribute Matrix'!G$25*0.065+'Santurce Attribute Matrix'!G$13*0.065+'Santurce Attribute Matrix'!G$7*0.055+'Santurce Attribute Matrix'!G$26*0.055+'Santurce Attribute Matrix'!G$20*0.055+'Santurce Attribute Matrix'!G$21*0.04+'Santurce Attribute Matrix'!G$11*0.04+'Santurce Attribute Matrix'!G$14*0.03+'Santurce Attribute Matrix'!G$12*0.03+'Santurce Attribute Matrix'!G$31*0.03+'Santurce Attribute Matrix'!G$32*0.028+'Santurce Attribute Matrix'!G$29*0.025+'Santurce Attribute Matrix'!G$6*0.015+'Santurce Attribute Matrix'!G$16*0.015+'Santurce Attribute Matrix'!G$33*0.015+'Santurce Attribute Matrix'!G$24*0.012+'Santurce Attribute Matrix'!G$27*0.012+'Santurce Attribute Matrix'!G$28*0.008+'Santurce Attribute Matrix'!G$19*0.008+'Santurce Attribute Matrix'!G$23*0.005+'Santurce Attribute Matrix'!G$8*0.005+'Santurce Attribute Matrix'!G$22*0.003+'Santurce Attribute Matrix'!G$10*0.002+'Santurce Attribute Matrix'!G$9*0.002,IF(B7="SG",'Santurce Attribute Matrix'!G$13*0.11+'Santurce Attribute Matrix'!G$15*0.09+'Santurce Attribute Matrix'!G$7*0.07+'Santurce Attribute Matrix'!G$12*0.065+'Santurce Attribute Matrix'!G$16*0.06+'Santurce Attribute Matrix'!G$20*0.06+'Santurce Attribute Matrix'!G$18*0.06+'Santurce Attribute Matrix'!G$30*0.05+'Santurce Attribute Matrix'!G$11*0.05+'Santurce Attribute Matrix'!G$17*0.045+'Santurce Attribute Matrix'!G$14*0.04+'Santurce Attribute Matrix'!G$25*0.04+'Santurce Attribute Matrix'!G$21*0.035+'Santurce Attribute Matrix'!G$26*0.035+'Santurce Attribute Matrix'!G$32*0.035+'Santurce Attribute Matrix'!G$31*0.025+'Santurce Attribute Matrix'!G$29*0.02+'Santurce Attribute Matrix'!G$33*0.02+'Santurce Attribute Matrix'!G$6*0.015+'Santurce Attribute Matrix'!G$27*0.015+'Santurce Attribute Matrix'!G$28*0.015+'Santurce Attribute Matrix'!G$24*0.015+'Santurce Attribute Matrix'!G$19*0.01+'Santurce Attribute Matrix'!G$23*0.005+'Santurce Attribute Matrix'!G$8*0.005+'Santurce Attribute Matrix'!G$22*0.005+'Santurce Attribute Matrix'!G$10*0.003+'Santurce Attribute Matrix'!G$9*0.002,IF(B7="SF",'Santurce Attribute Matrix'!G$20*0.075+'Santurce Attribute Matrix'!G$13*0.075+'Santurce Attribute Matrix'!G$7*0.055+'Santurce Attribute Matrix'!G$15*0.055+'Santurce Attribute Matrix'!G$16*0.055+'Santurce Attribute Matrix'!G$30*0.05+'Santurce Attribute Matrix'!G$31*0.05+'Santurce Attribute Matrix'!G$12*0.05+'Santurce Attribute Matrix'!G$27*0.045+'Santurce Attribute Matrix'!G$25*0.045+'Santurce Attribute Matrix'!G$26*0.04+'Santurce Attribute Matrix'!G$18*0.04+'Santurce Attribute Matrix'!G$24*0.04+'Santurce Attribute Matrix'!G$11*0.04+'Santurce Attribute Matrix'!G$21*0.035+'Santurce Attribute Matrix'!G$14*0.03+'Santurce Attribute Matrix'!G$28*0.025+'Santurce Attribute Matrix'!G$17*0.025+'Santurce Attribute Matrix'!G$29*0.025+'Santurce Attribute Matrix'!G$32*0.025+'Santurce Attribute Matrix'!G$33*0.025+'Santurce Attribute Matrix'!G$6*0.02+'Santurce Attribute Matrix'!G$19*0.02+'Santurce Attribute Matrix'!G$23*0.015+'Santurce Attribute Matrix'!G$8*0.015+'Santurce Attribute Matrix'!G$22*0.01+'Santurce Attribute Matrix'!G$10*0.008+'Santurce Attribute Matrix'!G$9*0.007,IF(B7="PF",'Santurce Attribute Matrix'!G$19*0.08+'Santurce Attribute Matrix'!G$24*0.075+'Santurce Attribute Matrix'!G$6*0.07+'Santurce Attribute Matrix'!G$27*0.065+'Santurce Attribute Matrix'!G$23*0.06+'Santurce Attribute Matrix'!G$10*0.045+'Santurce Attribute Matrix'!G$31*0.045+'Santurce Attribute Matrix'!G$12*0.045+'Santurce Attribute Matrix'!G$9*0.04+'Santurce Attribute Matrix'!G$11*0.04+'Santurce Attribute Matrix'!G$22*0.04+'Santurce Attribute Matrix'!G$30*0.04+'Santurce Attribute Matrix'!G$33*0.04+'Santurce Attribute Matrix'!G$13*0.04+'Santurce Attribute Matrix'!G$7*0.04+'Santurce Attribute Matrix'!G$28*0.035+'Santurce Attribute Matrix'!G$20*0.03+'Santurce Attribute Matrix'!G$29*0.025+'Santurce Attribute Matrix'!G$14*0.02+'Santurce Attribute Matrix'!G$25*0.02+'Santurce Attribute Matrix'!G$26*0.015+'Santurce Attribute Matrix'!G$17*0.015+'Santurce Attribute Matrix'!G$16*0.015+'Santurce Attribute Matrix'!G$32*0.015+'Santurce Attribute Matrix'!G$8*0.015+'Santurce Attribute Matrix'!G$18*0.01+'Santurce Attribute Matrix'!G$21*0.01+'Santurce Attribute Matrix'!G$15*0.01,'Santurce Attribute Matrix'!G$19*0.11+'Santurce Attribute Matrix'!G$24*0.1+'Santurce Attribute Matrix'!G$6*0.08+'Santurce Attribute Matrix'!G$27*0.075+'Santurce Attribute Matrix'!G$22*0.075+'Santurce Attribute Matrix'!G$23*0.065+'Santurce Attribute Matrix'!G$9*0.055+'Santurce Attribute Matrix'!G$31*0.055+'Santurce Attribute Matrix'!G$10*0.05+'Santurce Attribute Matrix'!G$11*0.045+'Santurce Attribute Matrix'!G$30*0.035+'Santurce Attribute Matrix'!G$28*0.035+'Santurce Attribute Matrix'!G$33*0.035+'Santurce Attribute Matrix'!G$14*0.02+'Santurce Attribute Matrix'!G$29*0.02+'Santurce Attribute Matrix'!G$12*0.02+'Santurce Attribute Matrix'!G$20*0.015+'Santurce Attribute Matrix'!G$13*0.015+'Santurce Attribute Matrix'!G$17*0.015+'Santurce Attribute Matrix'!G$25*0.015+'Santurce Attribute Matrix'!G$26*0.01+'Santurce Attribute Matrix'!G$16*0.01+'Santurce Attribute Matrix'!G$7*0.01+'Santurce Attribute Matrix'!G$8*0.01+'Santurce Attribute Matrix'!G$32*0.01+'Santurce Attribute Matrix'!G$18*0.005+'Santurce Attribute Matrix'!G$21*0.005+'Santurce Attribute Matrix'!G$15*0.005))))</x:f>
        <x:v>77.489</x:v>
      </x:c>
      <x:c r="E7" s="54" t="str">
        <x:f>IF(B7="PG",INDEX($AC$1:$AG$1,1,MATCH(F7,AC7:AG7,0)),IF(B7="SG",INDEX($AH$1:$AM$1,1,MATCH(F7,AH7:AM7,0)),IF(B7="SF",INDEX($AN$1:$AS$1,1,MATCH(F7,AN7:AS7,0)),IF(B7="PF",INDEX($AT$1:$AY$1,1,MATCH(F7,AT7:AY7,0)),INDEX($AZ$1:$BF$1,1,MATCH(F7,AZ7:BF7,0))))))</x:f>
        <x:v>scoringPG</x:v>
      </x:c>
      <x:c r="F7" s="54" t="n">
        <x:f>IF(B7="PG",MAX(AC7:AG7),IF(B7="SG",MAX(AH7:AM7),IF(B7="SF",MAX(AN7:AS7),IF(B7="PF",MAX(AT7:AY7),MAX(AZ7:BF7)))))</x:f>
        <x:v>78.9518</x:v>
      </x:c>
      <x:c r="G7" s="54" t="n">
        <x:f>D7*0.70</x:f>
        <x:v>54.2423</x:v>
      </x:c>
      <x:c r="H7" s="54" t="n">
        <x:f>F7*0.30</x:f>
        <x:v>23.68554</x:v>
      </x:c>
      <x:c r="I7" s="54" t="n">
        <x:f>G7+H7</x:f>
        <x:v>77.92784</x:v>
      </x:c>
      <x:c r="J7" s="54" t="n">
        <x:f>MIN(D7+6,MAX(D7-2,I7))</x:f>
        <x:v>77.92784</x:v>
      </x:c>
      <x:c r="K7" s="54" t="n">
        <x:f>ROUND(MAX(25,MIN(99,J7)),0)</x:f>
        <x:v>78</x:v>
      </x:c>
      <x:c r="L7" s="54" t="n">
        <x:f>K7-C7</x:f>
        <x:v>1</x:v>
      </x:c>
      <x:c r="M7" s="54" t="str">
        <x:f>IF(ABS(L7)&lt;=1,"On target",IF(L7&lt;-3,"Below target - review archetype/attributes/caps",IF(L7&gt;3,"Above target - review attributes/weights","Close")))</x:f>
        <x:v>On target</x:v>
      </x:c>
      <x:c r="N7" s="54" t="n">
        <x:f>'Santurce Attribute Matrix'!G$13*0.42+'Santurce Attribute Matrix'!G$12*0.18+'Santurce Attribute Matrix'!G$14*0.08+'Santurce Attribute Matrix'!G$16*0.22+'Santurce Attribute Matrix'!G$30*0.1</x:f>
        <x:v>80.17999999999999</x:v>
      </x:c>
      <x:c r="O7" s="54" t="n">
        <x:f>'Santurce Attribute Matrix'!G$13*0.35+'Santurce Attribute Matrix'!G$16*0.35+'Santurce Attribute Matrix'!G$29*0.12+'Santurce Attribute Matrix'!G$30*0.1+'Santurce Attribute Matrix'!G$12*0.08</x:f>
        <x:v>80.03</x:v>
      </x:c>
      <x:c r="P7" s="54" t="n">
        <x:f>'Santurce Attribute Matrix'!G$15*0.35+'Santurce Attribute Matrix'!G$18*0.22+'Santurce Attribute Matrix'!G$12*0.18+'Santurce Attribute Matrix'!G$13*0.1+'Santurce Attribute Matrix'!G$7*0.08+'Santurce Attribute Matrix'!G$11*0.07</x:f>
        <x:v>80.51</x:v>
      </x:c>
      <x:c r="Q7" s="54" t="n">
        <x:f>'Santurce Attribute Matrix'!G$7*0.34+'Santurce Attribute Matrix'!G$11*0.22+'Santurce Attribute Matrix'!G$25*0.15+'Santurce Attribute Matrix'!G$26*0.12+'Santurce Attribute Matrix'!G$6*0.1+'Santurce Attribute Matrix'!G$8*0.07</x:f>
        <x:v>75.94</x:v>
      </x:c>
      <x:c r="R7" s="54" t="n">
        <x:f>'Santurce Attribute Matrix'!G$17*0.45+'Santurce Attribute Matrix'!G$18*0.25+'Santurce Attribute Matrix'!G$30*0.25+'Santurce Attribute Matrix'!G$15*0.05</x:f>
        <x:v>79.39999999999999</x:v>
      </x:c>
      <x:c r="S7" s="54" t="n">
        <x:f>'Santurce Attribute Matrix'!G$17*0.38+'Santurce Attribute Matrix'!G$18*0.27+'Santurce Attribute Matrix'!G$30*0.25+'Santurce Attribute Matrix'!G$15*0.1</x:f>
        <x:v>79.64999999999999</x:v>
      </x:c>
      <x:c r="T7" s="54" t="n">
        <x:f>'Santurce Attribute Matrix'!G$17*0.42+'Santurce Attribute Matrix'!G$30*0.32+'Santurce Attribute Matrix'!G$10*0.16+'Santurce Attribute Matrix'!G$18*0.1</x:f>
        <x:v>72.42</x:v>
      </x:c>
      <x:c r="U7" s="54" t="n">
        <x:f>'Santurce Attribute Matrix'!G$20*0.44+'Santurce Attribute Matrix'!G$31*0.24+'Santurce Attribute Matrix'!G$21*0.14+'Santurce Attribute Matrix'!G$25*0.06+'Santurce Attribute Matrix'!G$27*0.06+'Santurce Attribute Matrix'!G$33*0.06</x:f>
        <x:v>72.86</x:v>
      </x:c>
      <x:c r="V7" s="54" t="n">
        <x:f>'Santurce Attribute Matrix'!G$20*0.32+'Santurce Attribute Matrix'!G$31*0.24+'Santurce Attribute Matrix'!G$27*0.13+'Santurce Attribute Matrix'!G$21*0.12+'Santurce Attribute Matrix'!G$22*0.08+'Santurce Attribute Matrix'!G$25*0.06+'Santurce Attribute Matrix'!G$33*0.05</x:f>
        <x:v>67.92999999999999</x:v>
      </x:c>
      <x:c r="W7" s="54" t="n">
        <x:f>'Santurce Attribute Matrix'!G$19*0.34+'Santurce Attribute Matrix'!G$31*0.24+'Santurce Attribute Matrix'!G$22*0.2+'Santurce Attribute Matrix'!G$27*0.1+'Santurce Attribute Matrix'!G$24*0.08+'Santurce Attribute Matrix'!G$33*0.04</x:f>
        <x:v>48.52</x:v>
      </x:c>
      <x:c r="X7" s="54" t="n">
        <x:f>'Santurce Attribute Matrix'!G$24*0.5+'Santurce Attribute Matrix'!G$23*0.25+'Santurce Attribute Matrix'!G$27*0.1+'Santurce Attribute Matrix'!G$28*0.08+'Santurce Attribute Matrix'!G$33*0.07</x:f>
        <x:v>50.31</x:v>
      </x:c>
      <x:c r="Y7" s="54" t="n">
        <x:f>'Santurce Attribute Matrix'!G$25*0.28+'Santurce Attribute Matrix'!G$26*0.25+'Santurce Attribute Matrix'!G$29*0.22+'Santurce Attribute Matrix'!G$28*0.12+'Santurce Attribute Matrix'!G$27*0.13</x:f>
        <x:v>78.55</x:v>
      </x:c>
      <x:c r="Z7" s="54" t="n">
        <x:f>'Santurce Attribute Matrix'!G$6*0.24+'Santurce Attribute Matrix'!G$10*0.24+'Santurce Attribute Matrix'!G$9*0.16+'Santurce Attribute Matrix'!G$7*0.12+'Santurce Attribute Matrix'!G$11*0.12+'Santurce Attribute Matrix'!G$27*0.08+'Santurce Attribute Matrix'!G$30*0.04</x:f>
        <x:v>56.24</x:v>
      </x:c>
      <x:c r="AA7" s="54" t="n">
        <x:f>'Santurce Attribute Matrix'!G$13*0.36+'Santurce Attribute Matrix'!G$12*0.18+'Santurce Attribute Matrix'!G$16*0.16+'Santurce Attribute Matrix'!G$14*0.1+'Santurce Attribute Matrix'!G$30*0.12+'Santurce Attribute Matrix'!G$15*0.08</x:f>
        <x:v>80.10000000000001</x:v>
      </x:c>
      <x:c r="AB7" s="54" t="n">
        <x:f>'Santurce Attribute Matrix'!G$30*0.34+'Santurce Attribute Matrix'!G$31*0.24+'Santurce Attribute Matrix'!G$32*0.24+'Santurce Attribute Matrix'!G$33*0.18</x:f>
        <x:v>76.86</x:v>
      </x:c>
      <x:c r="AC7" s="54" t="n">
        <x:f>R7*0.45+N7*0.14+P7*0.13+U7*0.1+Y7*0.06+AB7*0.12</x:f>
        <x:v>78.6437</x:v>
      </x:c>
      <x:c r="AD7" s="54" t="n">
        <x:f>P7*0.34+Q7*0.22+N7*0.2+R7*0.1+Y7*0.08+AB7*0.06</x:f>
        <x:v>78.9518</x:v>
      </x:c>
      <x:c r="AE7" s="54" t="n">
        <x:f>U7*0.38+R7*0.22+Y7*0.14+N7*0.12+P7*0.08+AB7*0.06</x:f>
        <x:v>76.82579999999999</x:v>
      </x:c>
      <x:c r="AF7" s="54" t="n">
        <x:f>X7*0.24+U7*0.2+Y7*0.16+R7*0.18+Q7*0.12+N7*0.1</x:f>
        <x:v>70.63719999999999</x:v>
      </x:c>
      <x:c r="AG7" s="54" t="n">
        <x:f>O7*0.35+N7*0.24+R7*0.14+U7*0.1+Y7*0.07+AB7*0.1</x:f>
        <x:v>78.84020000000001</x:v>
      </x:c>
      <x:c r="AH7" s="54" t="n">
        <x:f>O7*0.44+N7*0.26+P7*0.12+U7*0.07+Y7*0.04+AB7*0.05+R7*0.02</x:f>
        <x:v>79.3944</x:v>
      </x:c>
      <x:c r="AI7" s="54" t="n">
        <x:f>P7*0.34+N7*0.22+Q7*0.14+O7*0.12+U7*0.08+Y7*0.06+AB7*0.04</x:f>
        <x:v>78.86439999999999</x:v>
      </x:c>
      <x:c r="AJ7" s="54" t="n">
        <x:f>Q7*0.34+P7*0.2+Y7*0.16+U7*0.1+N7*0.1+AB7*0.06+R7*0.04</x:f>
        <x:v>77.5812</x:v>
      </x:c>
      <x:c r="AK7" s="54" t="n">
        <x:f>N7*0.3+O7*0.2+U7*0.26+Y7*0.08+AB7*0.08+P7*0.05+X7*0.03</x:f>
        <x:v>76.9712</x:v>
      </x:c>
      <x:c r="AL7" s="54" t="n">
        <x:f>R7*0.26+P7*0.24+N7*0.18+Q7*0.12+U7*0.1+Y7*0.06+AB7*0.04</x:f>
        <x:v>78.58499999999998</x:v>
      </x:c>
      <x:c r="AM7" s="54" t="n">
        <x:f>X7*0.22+U7*0.18+O7*0.18+P7*0.14+Y7*0.12+N7*0.1+AB7*0.06</x:f>
        <x:v>71.91539999999999</x:v>
      </x:c>
      <x:c r="AN7" s="54" t="n">
        <x:f>P7*0.28+N7*0.22+Q7*0.18+O7*0.12+V7*0.08+Y7*0.07+AB7*0.05</x:f>
        <x:v>78.23110000000001</x:v>
      </x:c>
      <x:c r="AO7" s="54" t="n">
        <x:f>N7*0.28+V7*0.28+O7*0.16+Y7*0.08+X7*0.07+AB7*0.08+P7*0.05</x:f>
        <x:v>74.25559999999999</x:v>
      </x:c>
      <x:c r="AP7" s="54" t="n">
        <x:f>S7*0.32+P7*0.18+N7*0.14+Q7*0.1+V7*0.1+X7*0.07+AB7*0.09</x:f>
        <x:v>76.0311</x:v>
      </x:c>
      <x:c r="AQ7" s="54" t="n">
        <x:f>Q7*0.3+Y7*0.18+P7*0.18+V7*0.12+X7*0.08+N7*0.08+AB7*0.06</x:f>
        <x:v>74.61519999999999</x:v>
      </x:c>
      <x:c r="AR7" s="54" t="n">
        <x:f>X7*0.24+V7*0.2+Y7*0.14+Q7*0.12+N7*0.12+S7*0.08+AB7*0.1</x:f>
        <x:v>69.4498</x:v>
      </x:c>
      <x:c r="AS7" s="54" t="n">
        <x:f>O7*0.34+N7*0.24+V7*0.14+P7*0.1+Y7*0.07+X7*0.04+AB7*0.07</x:f>
        <x:v>76.90570000000001</x:v>
      </x:c>
      <x:c r="AT7" s="54" t="n">
        <x:f>AA7*0.32+N7*0.18+X7*0.13+W7*0.13+T7*0.08+Y7*0.06+AB7*0.1</x:f>
        <x:v>71.10490000000001</x:v>
      </x:c>
      <x:c r="AU7" s="54" t="n">
        <x:f>Z7*0.3+X7*0.2+W7*0.16+Q7*0.12+Y7*0.08+T7*0.06+AB7*0.08</x:f>
        <x:v>60.588</x:v>
      </x:c>
      <x:c r="AV7" s="54" t="n">
        <x:f>W7*0.3+X7*0.28+Y7*0.1+Z7*0.1+T7*0.07+AA7*0.06+AB7*0.09</x:f>
        <x:v>58.9146</x:v>
      </x:c>
      <x:c r="AW7" s="54" t="n">
        <x:f>T7*0.28+AA7*0.16+Z7*0.14+X7*0.14+W7*0.12+AB7*0.1+Y7*0.06</x:f>
        <x:v>66.23200000000001</x:v>
      </x:c>
      <x:c r="AX7" s="54" t="n">
        <x:f>Q7*0.24+Z7*0.24+Y7*0.16+X7*0.14+W7*0.12+AB7*0.06+T7*0.04</x:f>
        <x:v>64.6654</x:v>
      </x:c>
      <x:c r="AY7" s="54" t="n">
        <x:f>V7*0.22+AA7*0.2+Y7*0.14+X7*0.14+T7*0.12+Q7*0.08+AB7*0.1</x:f>
        <x:v>71.45660000000001</x:v>
      </x:c>
      <x:c r="AZ7" s="54" t="n">
        <x:f>W7*0.36+X7*0.22+Y7*0.1+Z7*0.12+T7*0.06+AB7*0.1+AA7*0.04</x:f>
        <x:v>58.3744</x:v>
      </x:c>
      <x:c r="BA7" s="54" t="n">
        <x:f>X7*0.34+W7*0.24+Z7*0.14+Y7*0.1+AB7*0.08+T7*0.06+AA7*0.04</x:f>
        <x:v>58.17680000000001</x:v>
      </x:c>
      <x:c r="BB7" s="54" t="n">
        <x:f>Z7*0.34+X7*0.18+W7*0.16+T7*0.1+AB7*0.08+Y7*0.08+AA7*0.06</x:f>
        <x:v>60.42139999999999</x:v>
      </x:c>
      <x:c r="BC7" s="54" t="n">
        <x:f>AA7*0.3+N7*0.18+W7*0.16+X7*0.14+T7*0.08+Y7*0.05+AB7*0.09</x:f>
        <x:v>69.9075</x:v>
      </x:c>
      <x:c r="BD7" s="54" t="n">
        <x:f>T7*0.3+Z7*0.18+X7*0.16+W7*0.16+AA7*0.08+AB7*0.08+Y7*0.04</x:f>
        <x:v>63.360800000000005</x:v>
      </x:c>
      <x:c r="BE7" s="54" t="n">
        <x:f>Q7*0.24+Z7*0.24+Y7*0.16+X7*0.16+W7*0.12+AB7*0.06+T7*0.02</x:f>
        <x:v>64.2232</x:v>
      </x:c>
      <x:c r="BF7" s="55" t="n">
        <x:f>W7*0.24+V7*0.2+Y7*0.16+X7*0.16+Q7*0.08+T7*0.08+AB7*0.08</x:f>
        <x:v>63.866</x:v>
      </x:c>
    </x:row>
    <x:row r="8">
      <x:c r="A8" s="53" t="str">
        <x:f>'Santurce Attribute Matrix'!H$1</x:f>
        <x:v>Malik Beasley</x:v>
      </x:c>
      <x:c r="B8" s="54" t="str">
        <x:f>'Santurce Attribute Matrix'!H$2</x:f>
        <x:v>SG</x:v>
      </x:c>
      <x:c r="C8" s="54" t="n">
        <x:f>'Santurce Attribute Matrix'!H$5</x:f>
        <x:v>93</x:v>
      </x:c>
      <x:c r="D8" s="54" t="n">
        <x:f>IF(B8="PG",'Santurce Attribute Matrix'!H$18*0.12+'Santurce Attribute Matrix'!H$17*0.115+'Santurce Attribute Matrix'!H$30*0.075+'Santurce Attribute Matrix'!H$15*0.07+'Santurce Attribute Matrix'!H$25*0.065+'Santurce Attribute Matrix'!H$13*0.065+'Santurce Attribute Matrix'!H$7*0.055+'Santurce Attribute Matrix'!H$26*0.055+'Santurce Attribute Matrix'!H$20*0.055+'Santurce Attribute Matrix'!H$21*0.04+'Santurce Attribute Matrix'!H$11*0.04+'Santurce Attribute Matrix'!H$14*0.03+'Santurce Attribute Matrix'!H$12*0.03+'Santurce Attribute Matrix'!H$31*0.03+'Santurce Attribute Matrix'!H$32*0.028+'Santurce Attribute Matrix'!H$29*0.025+'Santurce Attribute Matrix'!H$6*0.015+'Santurce Attribute Matrix'!H$16*0.015+'Santurce Attribute Matrix'!H$33*0.015+'Santurce Attribute Matrix'!H$24*0.012+'Santurce Attribute Matrix'!H$27*0.012+'Santurce Attribute Matrix'!H$28*0.008+'Santurce Attribute Matrix'!H$19*0.008+'Santurce Attribute Matrix'!H$23*0.005+'Santurce Attribute Matrix'!H$8*0.005+'Santurce Attribute Matrix'!H$22*0.003+'Santurce Attribute Matrix'!H$10*0.002+'Santurce Attribute Matrix'!H$9*0.002,IF(B8="SG",'Santurce Attribute Matrix'!H$13*0.11+'Santurce Attribute Matrix'!H$15*0.09+'Santurce Attribute Matrix'!H$7*0.07+'Santurce Attribute Matrix'!H$12*0.065+'Santurce Attribute Matrix'!H$16*0.06+'Santurce Attribute Matrix'!H$20*0.06+'Santurce Attribute Matrix'!H$18*0.06+'Santurce Attribute Matrix'!H$30*0.05+'Santurce Attribute Matrix'!H$11*0.05+'Santurce Attribute Matrix'!H$17*0.045+'Santurce Attribute Matrix'!H$14*0.04+'Santurce Attribute Matrix'!H$25*0.04+'Santurce Attribute Matrix'!H$21*0.035+'Santurce Attribute Matrix'!H$26*0.035+'Santurce Attribute Matrix'!H$32*0.035+'Santurce Attribute Matrix'!H$31*0.025+'Santurce Attribute Matrix'!H$29*0.02+'Santurce Attribute Matrix'!H$33*0.02+'Santurce Attribute Matrix'!H$6*0.015+'Santurce Attribute Matrix'!H$27*0.015+'Santurce Attribute Matrix'!H$28*0.015+'Santurce Attribute Matrix'!H$24*0.015+'Santurce Attribute Matrix'!H$19*0.01+'Santurce Attribute Matrix'!H$23*0.005+'Santurce Attribute Matrix'!H$8*0.005+'Santurce Attribute Matrix'!H$22*0.005+'Santurce Attribute Matrix'!H$10*0.003+'Santurce Attribute Matrix'!H$9*0.002,IF(B8="SF",'Santurce Attribute Matrix'!H$20*0.075+'Santurce Attribute Matrix'!H$13*0.075+'Santurce Attribute Matrix'!H$7*0.055+'Santurce Attribute Matrix'!H$15*0.055+'Santurce Attribute Matrix'!H$16*0.055+'Santurce Attribute Matrix'!H$30*0.05+'Santurce Attribute Matrix'!H$31*0.05+'Santurce Attribute Matrix'!H$12*0.05+'Santurce Attribute Matrix'!H$27*0.045+'Santurce Attribute Matrix'!H$25*0.045+'Santurce Attribute Matrix'!H$26*0.04+'Santurce Attribute Matrix'!H$18*0.04+'Santurce Attribute Matrix'!H$24*0.04+'Santurce Attribute Matrix'!H$11*0.04+'Santurce Attribute Matrix'!H$21*0.035+'Santurce Attribute Matrix'!H$14*0.03+'Santurce Attribute Matrix'!H$28*0.025+'Santurce Attribute Matrix'!H$17*0.025+'Santurce Attribute Matrix'!H$29*0.025+'Santurce Attribute Matrix'!H$32*0.025+'Santurce Attribute Matrix'!H$33*0.025+'Santurce Attribute Matrix'!H$6*0.02+'Santurce Attribute Matrix'!H$19*0.02+'Santurce Attribute Matrix'!H$23*0.015+'Santurce Attribute Matrix'!H$8*0.015+'Santurce Attribute Matrix'!H$22*0.01+'Santurce Attribute Matrix'!H$10*0.008+'Santurce Attribute Matrix'!H$9*0.007,IF(B8="PF",'Santurce Attribute Matrix'!H$19*0.08+'Santurce Attribute Matrix'!H$24*0.075+'Santurce Attribute Matrix'!H$6*0.07+'Santurce Attribute Matrix'!H$27*0.065+'Santurce Attribute Matrix'!H$23*0.06+'Santurce Attribute Matrix'!H$10*0.045+'Santurce Attribute Matrix'!H$31*0.045+'Santurce Attribute Matrix'!H$12*0.045+'Santurce Attribute Matrix'!H$9*0.04+'Santurce Attribute Matrix'!H$11*0.04+'Santurce Attribute Matrix'!H$22*0.04+'Santurce Attribute Matrix'!H$30*0.04+'Santurce Attribute Matrix'!H$33*0.04+'Santurce Attribute Matrix'!H$13*0.04+'Santurce Attribute Matrix'!H$7*0.04+'Santurce Attribute Matrix'!H$28*0.035+'Santurce Attribute Matrix'!H$20*0.03+'Santurce Attribute Matrix'!H$29*0.025+'Santurce Attribute Matrix'!H$14*0.02+'Santurce Attribute Matrix'!H$25*0.02+'Santurce Attribute Matrix'!H$26*0.015+'Santurce Attribute Matrix'!H$17*0.015+'Santurce Attribute Matrix'!H$16*0.015+'Santurce Attribute Matrix'!H$32*0.015+'Santurce Attribute Matrix'!H$8*0.015+'Santurce Attribute Matrix'!H$18*0.01+'Santurce Attribute Matrix'!H$21*0.01+'Santurce Attribute Matrix'!H$15*0.01,'Santurce Attribute Matrix'!H$19*0.11+'Santurce Attribute Matrix'!H$24*0.1+'Santurce Attribute Matrix'!H$6*0.08+'Santurce Attribute Matrix'!H$27*0.075+'Santurce Attribute Matrix'!H$22*0.075+'Santurce Attribute Matrix'!H$23*0.065+'Santurce Attribute Matrix'!H$9*0.055+'Santurce Attribute Matrix'!H$31*0.055+'Santurce Attribute Matrix'!H$10*0.05+'Santurce Attribute Matrix'!H$11*0.045+'Santurce Attribute Matrix'!H$30*0.035+'Santurce Attribute Matrix'!H$28*0.035+'Santurce Attribute Matrix'!H$33*0.035+'Santurce Attribute Matrix'!H$14*0.02+'Santurce Attribute Matrix'!H$29*0.02+'Santurce Attribute Matrix'!H$12*0.02+'Santurce Attribute Matrix'!H$20*0.015+'Santurce Attribute Matrix'!H$13*0.015+'Santurce Attribute Matrix'!H$17*0.015+'Santurce Attribute Matrix'!H$25*0.015+'Santurce Attribute Matrix'!H$26*0.01+'Santurce Attribute Matrix'!H$16*0.01+'Santurce Attribute Matrix'!H$7*0.01+'Santurce Attribute Matrix'!H$8*0.01+'Santurce Attribute Matrix'!H$32*0.01+'Santurce Attribute Matrix'!H$18*0.005+'Santurce Attribute Matrix'!H$21*0.005+'Santurce Attribute Matrix'!H$15*0.005))))</x:f>
        <x:v>93.00999999999999</x:v>
      </x:c>
      <x:c r="E8" s="54" t="str">
        <x:f>IF(B8="PG",INDEX($AC$1:$AG$1,1,MATCH(F8,AC8:AG8,0)),IF(B8="SG",INDEX($AH$1:$AM$1,1,MATCH(F8,AH8:AM8,0)),IF(B8="SF",INDEX($AN$1:$AS$1,1,MATCH(F8,AN8:AS8,0)),IF(B8="PF",INDEX($AT$1:$AY$1,1,MATCH(F8,AT8:AY8,0)),INDEX($AZ$1:$BF$1,1,MATCH(F8,AZ8:BF8,0))))))</x:f>
        <x:v>offScreenShooter</x:v>
      </x:c>
      <x:c r="F8" s="54" t="n">
        <x:f>IF(B8="PG",MAX(AC8:AG8),IF(B8="SG",MAX(AH8:AM8),IF(B8="SF",MAX(AN8:AS8),IF(B8="PF",MAX(AT8:AY8),MAX(AZ8:BF8)))))</x:f>
        <x:v>97.19680000000001</x:v>
      </x:c>
      <x:c r="G8" s="54" t="n">
        <x:f>D8*0.70</x:f>
        <x:v>65.10699999999999</x:v>
      </x:c>
      <x:c r="H8" s="54" t="n">
        <x:f>F8*0.30</x:f>
        <x:v>29.15904</x:v>
      </x:c>
      <x:c r="I8" s="54" t="n">
        <x:f>G8+H8</x:f>
        <x:v>94.26603999999999</x:v>
      </x:c>
      <x:c r="J8" s="54" t="n">
        <x:f>MIN(D8+6,MAX(D8-2,I8))</x:f>
        <x:v>94.26603999999999</x:v>
      </x:c>
      <x:c r="K8" s="54" t="n">
        <x:f>ROUND(MAX(25,MIN(99,J8)),0)</x:f>
        <x:v>94</x:v>
      </x:c>
      <x:c r="L8" s="54" t="n">
        <x:f>K8-C8</x:f>
        <x:v>1</x:v>
      </x:c>
      <x:c r="M8" s="54" t="str">
        <x:f>IF(ABS(L8)&lt;=1,"On target",IF(L8&lt;-3,"Below target - review archetype/attributes/caps",IF(L8&gt;3,"Above target - review attributes/weights","Close")))</x:f>
        <x:v>On target</x:v>
      </x:c>
      <x:c r="N8" s="54" t="n">
        <x:f>'Santurce Attribute Matrix'!H$13*0.42+'Santurce Attribute Matrix'!H$12*0.18+'Santurce Attribute Matrix'!H$14*0.08+'Santurce Attribute Matrix'!H$16*0.22+'Santurce Attribute Matrix'!H$30*0.1</x:f>
        <x:v>97.80000000000001</x:v>
      </x:c>
      <x:c r="O8" s="54" t="n">
        <x:f>'Santurce Attribute Matrix'!H$13*0.35+'Santurce Attribute Matrix'!H$16*0.35+'Santurce Attribute Matrix'!H$29*0.12+'Santurce Attribute Matrix'!H$30*0.1+'Santurce Attribute Matrix'!H$12*0.08</x:f>
        <x:v>98.88000000000001</x:v>
      </x:c>
      <x:c r="P8" s="54" t="n">
        <x:f>'Santurce Attribute Matrix'!H$15*0.35+'Santurce Attribute Matrix'!H$18*0.22+'Santurce Attribute Matrix'!H$12*0.18+'Santurce Attribute Matrix'!H$13*0.1+'Santurce Attribute Matrix'!H$7*0.08+'Santurce Attribute Matrix'!H$11*0.07</x:f>
        <x:v>97.75000000000001</x:v>
      </x:c>
      <x:c r="Q8" s="54" t="n">
        <x:f>'Santurce Attribute Matrix'!H$7*0.34+'Santurce Attribute Matrix'!H$11*0.22+'Santurce Attribute Matrix'!H$25*0.15+'Santurce Attribute Matrix'!H$26*0.12+'Santurce Attribute Matrix'!H$6*0.1+'Santurce Attribute Matrix'!H$8*0.07</x:f>
        <x:v>92.02</x:v>
      </x:c>
      <x:c r="R8" s="54" t="n">
        <x:f>'Santurce Attribute Matrix'!H$17*0.45+'Santurce Attribute Matrix'!H$18*0.25+'Santurce Attribute Matrix'!H$30*0.25+'Santurce Attribute Matrix'!H$15*0.05</x:f>
        <x:v>93.3</x:v>
      </x:c>
      <x:c r="S8" s="54" t="n">
        <x:f>'Santurce Attribute Matrix'!H$17*0.38+'Santurce Attribute Matrix'!H$18*0.27+'Santurce Attribute Matrix'!H$30*0.25+'Santurce Attribute Matrix'!H$15*0.1</x:f>
        <x:v>94.01</x:v>
      </x:c>
      <x:c r="T8" s="54" t="n">
        <x:f>'Santurce Attribute Matrix'!H$17*0.42+'Santurce Attribute Matrix'!H$30*0.32+'Santurce Attribute Matrix'!H$10*0.16+'Santurce Attribute Matrix'!H$18*0.1</x:f>
        <x:v>87.03999999999999</x:v>
      </x:c>
      <x:c r="U8" s="54" t="n">
        <x:f>'Santurce Attribute Matrix'!H$20*0.44+'Santurce Attribute Matrix'!H$31*0.24+'Santurce Attribute Matrix'!H$21*0.14+'Santurce Attribute Matrix'!H$25*0.06+'Santurce Attribute Matrix'!H$27*0.06+'Santurce Attribute Matrix'!H$33*0.06</x:f>
        <x:v>89.42000000000002</x:v>
      </x:c>
      <x:c r="V8" s="54" t="n">
        <x:f>'Santurce Attribute Matrix'!H$20*0.32+'Santurce Attribute Matrix'!H$31*0.24+'Santurce Attribute Matrix'!H$27*0.13+'Santurce Attribute Matrix'!H$21*0.12+'Santurce Attribute Matrix'!H$22*0.08+'Santurce Attribute Matrix'!H$25*0.06+'Santurce Attribute Matrix'!H$33*0.05</x:f>
        <x:v>84.60000000000001</x:v>
      </x:c>
      <x:c r="W8" s="54" t="n">
        <x:f>'Santurce Attribute Matrix'!H$19*0.34+'Santurce Attribute Matrix'!H$31*0.24+'Santurce Attribute Matrix'!H$22*0.2+'Santurce Attribute Matrix'!H$27*0.1+'Santurce Attribute Matrix'!H$24*0.08+'Santurce Attribute Matrix'!H$33*0.04</x:f>
        <x:v>66.8</x:v>
      </x:c>
      <x:c r="X8" s="54" t="n">
        <x:f>'Santurce Attribute Matrix'!H$24*0.5+'Santurce Attribute Matrix'!H$23*0.25+'Santurce Attribute Matrix'!H$27*0.1+'Santurce Attribute Matrix'!H$28*0.08+'Santurce Attribute Matrix'!H$33*0.07</x:f>
        <x:v>68.88</x:v>
      </x:c>
      <x:c r="Y8" s="54" t="n">
        <x:f>'Santurce Attribute Matrix'!H$25*0.28+'Santurce Attribute Matrix'!H$26*0.25+'Santurce Attribute Matrix'!H$29*0.22+'Santurce Attribute Matrix'!H$28*0.12+'Santurce Attribute Matrix'!H$27*0.13</x:f>
        <x:v>91.43</x:v>
      </x:c>
      <x:c r="Z8" s="54" t="n">
        <x:f>'Santurce Attribute Matrix'!H$6*0.24+'Santurce Attribute Matrix'!H$10*0.24+'Santurce Attribute Matrix'!H$9*0.16+'Santurce Attribute Matrix'!H$7*0.12+'Santurce Attribute Matrix'!H$11*0.12+'Santurce Attribute Matrix'!H$27*0.08+'Santurce Attribute Matrix'!H$30*0.04</x:f>
        <x:v>74.04</x:v>
      </x:c>
      <x:c r="AA8" s="54" t="n">
        <x:f>'Santurce Attribute Matrix'!H$13*0.36+'Santurce Attribute Matrix'!H$12*0.18+'Santurce Attribute Matrix'!H$16*0.16+'Santurce Attribute Matrix'!H$14*0.1+'Santurce Attribute Matrix'!H$30*0.12+'Santurce Attribute Matrix'!H$15*0.08</x:f>
        <x:v>97.5</x:v>
      </x:c>
      <x:c r="AB8" s="54" t="n">
        <x:f>'Santurce Attribute Matrix'!H$30*0.34+'Santurce Attribute Matrix'!H$31*0.24+'Santurce Attribute Matrix'!H$32*0.24+'Santurce Attribute Matrix'!H$33*0.18</x:f>
        <x:v>94.98</x:v>
      </x:c>
      <x:c r="AC8" s="54" t="n">
        <x:f>R8*0.45+N8*0.14+P8*0.13+U8*0.1+Y8*0.06+AB8*0.12</x:f>
        <x:v>94.2099</x:v>
      </x:c>
      <x:c r="AD8" s="54" t="n">
        <x:f>P8*0.34+Q8*0.22+N8*0.2+R8*0.1+Y8*0.08+AB8*0.06</x:f>
        <x:v>95.38260000000001</x:v>
      </x:c>
      <x:c r="AE8" s="54" t="n">
        <x:f>U8*0.38+R8*0.22+Y8*0.14+N8*0.12+P8*0.08+AB8*0.06</x:f>
        <x:v>92.56060000000002</x:v>
      </x:c>
      <x:c r="AF8" s="54" t="n">
        <x:f>X8*0.24+U8*0.2+Y8*0.16+R8*0.18+Q8*0.12+N8*0.1</x:f>
        <x:v>86.6604</x:v>
      </x:c>
      <x:c r="AG8" s="54" t="n">
        <x:f>O8*0.35+N8*0.24+R8*0.14+U8*0.1+Y8*0.07+AB8*0.1</x:f>
        <x:v>95.98210000000002</x:v>
      </x:c>
      <x:c r="AH8" s="54" t="n">
        <x:f>O8*0.44+N8*0.26+P8*0.12+U8*0.07+Y8*0.04+AB8*0.05+R8*0.02</x:f>
        <x:v>97.19680000000001</x:v>
      </x:c>
      <x:c r="AI8" s="54" t="n">
        <x:f>P8*0.34+N8*0.22+Q8*0.14+O8*0.12+U8*0.08+Y8*0.06+AB8*0.04</x:f>
        <x:v>95.938</x:v>
      </x:c>
      <x:c r="AJ8" s="54" t="n">
        <x:f>Q8*0.34+P8*0.2+Y8*0.16+U8*0.1+N8*0.1+AB8*0.06+R8*0.04</x:f>
        <x:v>93.61840000000002</x:v>
      </x:c>
      <x:c r="AK8" s="54" t="n">
        <x:f>N8*0.3+O8*0.2+U8*0.26+Y8*0.08+AB8*0.08+P8*0.05+X8*0.03</x:f>
        <x:v>94.23190000000002</x:v>
      </x:c>
      <x:c r="AL8" s="54" t="n">
        <x:f>R8*0.26+P8*0.24+N8*0.18+Q8*0.12+U8*0.1+Y8*0.06+AB8*0.04</x:f>
        <x:v>94.59140000000001</x:v>
      </x:c>
      <x:c r="AM8" s="54" t="n">
        <x:f>X8*0.22+U8*0.18+O8*0.18+P8*0.14+Y8*0.12+N8*0.1+AB8*0.06</x:f>
        <x:v>89.183</x:v>
      </x:c>
      <x:c r="AN8" s="54" t="n">
        <x:f>P8*0.28+N8*0.22+Q8*0.18+O8*0.12+V8*0.08+Y8*0.07+AB8*0.05</x:f>
        <x:v>95.2323</x:v>
      </x:c>
      <x:c r="AO8" s="54" t="n">
        <x:f>N8*0.28+V8*0.28+O8*0.16+Y8*0.08+X8*0.07+AB8*0.08+P8*0.05</x:f>
        <x:v>91.51470000000003</x:v>
      </x:c>
      <x:c r="AP8" s="54" t="n">
        <x:f>S8*0.32+P8*0.18+N8*0.14+Q8*0.1+V8*0.1+X8*0.07+AB8*0.09</x:f>
        <x:v>92.40200000000002</x:v>
      </x:c>
      <x:c r="AQ8" s="54" t="n">
        <x:f>Q8*0.3+Y8*0.18+P8*0.18+V8*0.12+X8*0.08+N8*0.08+AB8*0.06</x:f>
        <x:v>90.84360000000001</x:v>
      </x:c>
      <x:c r="AR8" s="54" t="n">
        <x:f>X8*0.24+V8*0.2+Y8*0.14+Q8*0.12+N8*0.12+S8*0.08+AB8*0.1</x:f>
        <x:v>86.04860000000001</x:v>
      </x:c>
      <x:c r="AS8" s="54" t="n">
        <x:f>O8*0.34+N8*0.24+V8*0.14+P8*0.1+Y8*0.07+X8*0.04+AB8*0.07</x:f>
        <x:v>94.51410000000001</x:v>
      </x:c>
      <x:c r="AT8" s="54" t="n">
        <x:f>AA8*0.32+N8*0.18+X8*0.13+W8*0.13+T8*0.08+Y8*0.06+AB8*0.1</x:f>
        <x:v>88.38940000000001</x:v>
      </x:c>
      <x:c r="AU8" s="54" t="n">
        <x:f>Z8*0.3+X8*0.2+W8*0.16+Q8*0.12+Y8*0.08+T8*0.06+AB8*0.08</x:f>
        <x:v>77.8536</x:v>
      </x:c>
      <x:c r="AV8" s="54" t="n">
        <x:f>W8*0.3+X8*0.28+Y8*0.1+Z8*0.1+T8*0.07+AA8*0.06+AB8*0.09</x:f>
        <x:v>76.36439999999999</x:v>
      </x:c>
      <x:c r="AW8" s="54" t="n">
        <x:f>T8*0.28+AA8*0.16+Z8*0.14+X8*0.14+W8*0.12+AB8*0.1+Y8*0.06</x:f>
        <x:v>82.97980000000001</x:v>
      </x:c>
      <x:c r="AX8" s="54" t="n">
        <x:f>Q8*0.24+Z8*0.24+Y8*0.16+X8*0.14+W8*0.12+AB8*0.06+T8*0.04</x:f>
        <x:v>81.3228</x:v>
      </x:c>
      <x:c r="AY8" s="54" t="n">
        <x:f>V8*0.22+AA8*0.2+Y8*0.14+X8*0.14+T8*0.12+Q8*0.08+AB8*0.1</x:f>
        <x:v>87.8598</x:v>
      </x:c>
      <x:c r="AZ8" s="54" t="n">
        <x:f>W8*0.36+X8*0.22+Y8*0.1+Z8*0.12+T8*0.06+AB8*0.1+AA8*0.04</x:f>
        <x:v>75.8498</x:v>
      </x:c>
      <x:c r="BA8" s="54" t="n">
        <x:f>X8*0.34+W8*0.24+Z8*0.14+Y8*0.1+AB8*0.08+T8*0.06+AA8*0.04</x:f>
        <x:v>75.6806</x:v>
      </x:c>
      <x:c r="BB8" s="54" t="n">
        <x:f>Z8*0.34+X8*0.18+W8*0.16+T8*0.1+AB8*0.08+Y8*0.08+AA8*0.06</x:f>
        <x:v>77.72680000000001</x:v>
      </x:c>
      <x:c r="BC8" s="54" t="n">
        <x:f>AA8*0.3+N8*0.18+W8*0.16+X8*0.14+T8*0.08+Y8*0.05+AB8*0.09</x:f>
        <x:v>87.2681</x:v>
      </x:c>
      <x:c r="BD8" s="54" t="n">
        <x:f>T8*0.3+Z8*0.18+X8*0.16+W8*0.16+AA8*0.08+AB8*0.08+Y8*0.04</x:f>
        <x:v>80.20360000000001</x:v>
      </x:c>
      <x:c r="BE8" s="54" t="n">
        <x:f>Q8*0.24+Z8*0.24+Y8*0.16+X8*0.16+W8*0.12+AB8*0.06+T8*0.02</x:f>
        <x:v>80.9596</x:v>
      </x:c>
      <x:c r="BF8" s="55" t="n">
        <x:f>W8*0.24+V8*0.2+Y8*0.16+X8*0.16+Q8*0.08+T8*0.08+AB8*0.08</x:f>
        <x:v>80.5248</x:v>
      </x:c>
    </x:row>
    <x:row r="9">
      <x:c r="A9" s="53" t="str">
        <x:f>'Santurce Attribute Matrix'!I$1</x:f>
        <x:v>Ángel Matías</x:v>
      </x:c>
      <x:c r="B9" s="54" t="str">
        <x:f>'Santurce Attribute Matrix'!I$2</x:f>
        <x:v>SF</x:v>
      </x:c>
      <x:c r="C9" s="54" t="n">
        <x:f>'Santurce Attribute Matrix'!I$5</x:f>
        <x:v>84</x:v>
      </x:c>
      <x:c r="D9" s="54" t="n">
        <x:f>IF(B9="PG",'Santurce Attribute Matrix'!I$18*0.12+'Santurce Attribute Matrix'!I$17*0.115+'Santurce Attribute Matrix'!I$30*0.075+'Santurce Attribute Matrix'!I$15*0.07+'Santurce Attribute Matrix'!I$25*0.065+'Santurce Attribute Matrix'!I$13*0.065+'Santurce Attribute Matrix'!I$7*0.055+'Santurce Attribute Matrix'!I$26*0.055+'Santurce Attribute Matrix'!I$20*0.055+'Santurce Attribute Matrix'!I$21*0.04+'Santurce Attribute Matrix'!I$11*0.04+'Santurce Attribute Matrix'!I$14*0.03+'Santurce Attribute Matrix'!I$12*0.03+'Santurce Attribute Matrix'!I$31*0.03+'Santurce Attribute Matrix'!I$32*0.028+'Santurce Attribute Matrix'!I$29*0.025+'Santurce Attribute Matrix'!I$6*0.015+'Santurce Attribute Matrix'!I$16*0.015+'Santurce Attribute Matrix'!I$33*0.015+'Santurce Attribute Matrix'!I$24*0.012+'Santurce Attribute Matrix'!I$27*0.012+'Santurce Attribute Matrix'!I$28*0.008+'Santurce Attribute Matrix'!I$19*0.008+'Santurce Attribute Matrix'!I$23*0.005+'Santurce Attribute Matrix'!I$8*0.005+'Santurce Attribute Matrix'!I$22*0.003+'Santurce Attribute Matrix'!I$10*0.002+'Santurce Attribute Matrix'!I$9*0.002,IF(B9="SG",'Santurce Attribute Matrix'!I$13*0.11+'Santurce Attribute Matrix'!I$15*0.09+'Santurce Attribute Matrix'!I$7*0.07+'Santurce Attribute Matrix'!I$12*0.065+'Santurce Attribute Matrix'!I$16*0.06+'Santurce Attribute Matrix'!I$20*0.06+'Santurce Attribute Matrix'!I$18*0.06+'Santurce Attribute Matrix'!I$30*0.05+'Santurce Attribute Matrix'!I$11*0.05+'Santurce Attribute Matrix'!I$17*0.045+'Santurce Attribute Matrix'!I$14*0.04+'Santurce Attribute Matrix'!I$25*0.04+'Santurce Attribute Matrix'!I$21*0.035+'Santurce Attribute Matrix'!I$26*0.035+'Santurce Attribute Matrix'!I$32*0.035+'Santurce Attribute Matrix'!I$31*0.025+'Santurce Attribute Matrix'!I$29*0.02+'Santurce Attribute Matrix'!I$33*0.02+'Santurce Attribute Matrix'!I$6*0.015+'Santurce Attribute Matrix'!I$27*0.015+'Santurce Attribute Matrix'!I$28*0.015+'Santurce Attribute Matrix'!I$24*0.015+'Santurce Attribute Matrix'!I$19*0.01+'Santurce Attribute Matrix'!I$23*0.005+'Santurce Attribute Matrix'!I$8*0.005+'Santurce Attribute Matrix'!I$22*0.005+'Santurce Attribute Matrix'!I$10*0.003+'Santurce Attribute Matrix'!I$9*0.002,IF(B9="SF",'Santurce Attribute Matrix'!I$20*0.075+'Santurce Attribute Matrix'!I$13*0.075+'Santurce Attribute Matrix'!I$7*0.055+'Santurce Attribute Matrix'!I$15*0.055+'Santurce Attribute Matrix'!I$16*0.055+'Santurce Attribute Matrix'!I$30*0.05+'Santurce Attribute Matrix'!I$31*0.05+'Santurce Attribute Matrix'!I$12*0.05+'Santurce Attribute Matrix'!I$27*0.045+'Santurce Attribute Matrix'!I$25*0.045+'Santurce Attribute Matrix'!I$26*0.04+'Santurce Attribute Matrix'!I$18*0.04+'Santurce Attribute Matrix'!I$24*0.04+'Santurce Attribute Matrix'!I$11*0.04+'Santurce Attribute Matrix'!I$21*0.035+'Santurce Attribute Matrix'!I$14*0.03+'Santurce Attribute Matrix'!I$28*0.025+'Santurce Attribute Matrix'!I$17*0.025+'Santurce Attribute Matrix'!I$29*0.025+'Santurce Attribute Matrix'!I$32*0.025+'Santurce Attribute Matrix'!I$33*0.025+'Santurce Attribute Matrix'!I$6*0.02+'Santurce Attribute Matrix'!I$19*0.02+'Santurce Attribute Matrix'!I$23*0.015+'Santurce Attribute Matrix'!I$8*0.015+'Santurce Attribute Matrix'!I$22*0.01+'Santurce Attribute Matrix'!I$10*0.008+'Santurce Attribute Matrix'!I$9*0.007,IF(B9="PF",'Santurce Attribute Matrix'!I$19*0.08+'Santurce Attribute Matrix'!I$24*0.075+'Santurce Attribute Matrix'!I$6*0.07+'Santurce Attribute Matrix'!I$27*0.065+'Santurce Attribute Matrix'!I$23*0.06+'Santurce Attribute Matrix'!I$10*0.045+'Santurce Attribute Matrix'!I$31*0.045+'Santurce Attribute Matrix'!I$12*0.045+'Santurce Attribute Matrix'!I$9*0.04+'Santurce Attribute Matrix'!I$11*0.04+'Santurce Attribute Matrix'!I$22*0.04+'Santurce Attribute Matrix'!I$30*0.04+'Santurce Attribute Matrix'!I$33*0.04+'Santurce Attribute Matrix'!I$13*0.04+'Santurce Attribute Matrix'!I$7*0.04+'Santurce Attribute Matrix'!I$28*0.035+'Santurce Attribute Matrix'!I$20*0.03+'Santurce Attribute Matrix'!I$29*0.025+'Santurce Attribute Matrix'!I$14*0.02+'Santurce Attribute Matrix'!I$25*0.02+'Santurce Attribute Matrix'!I$26*0.015+'Santurce Attribute Matrix'!I$17*0.015+'Santurce Attribute Matrix'!I$16*0.015+'Santurce Attribute Matrix'!I$32*0.015+'Santurce Attribute Matrix'!I$8*0.015+'Santurce Attribute Matrix'!I$18*0.01+'Santurce Attribute Matrix'!I$21*0.01+'Santurce Attribute Matrix'!I$15*0.01,'Santurce Attribute Matrix'!I$19*0.11+'Santurce Attribute Matrix'!I$24*0.1+'Santurce Attribute Matrix'!I$6*0.08+'Santurce Attribute Matrix'!I$27*0.075+'Santurce Attribute Matrix'!I$22*0.075+'Santurce Attribute Matrix'!I$23*0.065+'Santurce Attribute Matrix'!I$9*0.055+'Santurce Attribute Matrix'!I$31*0.055+'Santurce Attribute Matrix'!I$10*0.05+'Santurce Attribute Matrix'!I$11*0.045+'Santurce Attribute Matrix'!I$30*0.035+'Santurce Attribute Matrix'!I$28*0.035+'Santurce Attribute Matrix'!I$33*0.035+'Santurce Attribute Matrix'!I$14*0.02+'Santurce Attribute Matrix'!I$29*0.02+'Santurce Attribute Matrix'!I$12*0.02+'Santurce Attribute Matrix'!I$20*0.015+'Santurce Attribute Matrix'!I$13*0.015+'Santurce Attribute Matrix'!I$17*0.015+'Santurce Attribute Matrix'!I$25*0.015+'Santurce Attribute Matrix'!I$26*0.01+'Santurce Attribute Matrix'!I$16*0.01+'Santurce Attribute Matrix'!I$7*0.01+'Santurce Attribute Matrix'!I$8*0.01+'Santurce Attribute Matrix'!I$32*0.01+'Santurce Attribute Matrix'!I$18*0.005+'Santurce Attribute Matrix'!I$21*0.005+'Santurce Attribute Matrix'!I$15*0.005))))</x:f>
        <x:v>83.66000000000004</x:v>
      </x:c>
      <x:c r="E9" s="54" t="str">
        <x:f>IF(B9="PG",INDEX($AC$1:$AG$1,1,MATCH(F9,AC9:AG9,0)),IF(B9="SG",INDEX($AH$1:$AM$1,1,MATCH(F9,AH9:AM9,0)),IF(B9="SF",INDEX($AN$1:$AS$1,1,MATCH(F9,AN9:AS9,0)),IF(B9="PF",INDEX($AT$1:$AY$1,1,MATCH(F9,AT9:AY9,0)),INDEX($AZ$1:$BF$1,1,MATCH(F9,AZ9:BF9,0))))))</x:f>
        <x:v>offBallWing</x:v>
      </x:c>
      <x:c r="F9" s="54" t="n">
        <x:f>IF(B9="PG",MAX(AC9:AG9),IF(B9="SG",MAX(AH9:AM9),IF(B9="SF",MAX(AN9:AS9),IF(B9="PF",MAX(AT9:AY9),MAX(AZ9:BF9)))))</x:f>
        <x:v>86.6653</x:v>
      </x:c>
      <x:c r="G9" s="54" t="n">
        <x:f>D9*0.70</x:f>
        <x:v>58.562000000000026</x:v>
      </x:c>
      <x:c r="H9" s="54" t="n">
        <x:f>F9*0.30</x:f>
        <x:v>25.99959</x:v>
      </x:c>
      <x:c r="I9" s="54" t="n">
        <x:f>G9+H9</x:f>
        <x:v>84.56159000000002</x:v>
      </x:c>
      <x:c r="J9" s="54" t="n">
        <x:f>MIN(D9+6,MAX(D9-2,I9))</x:f>
        <x:v>84.56159000000002</x:v>
      </x:c>
      <x:c r="K9" s="54" t="n">
        <x:f>ROUND(MAX(25,MIN(99,J9)),0)</x:f>
        <x:v>85</x:v>
      </x:c>
      <x:c r="L9" s="54" t="n">
        <x:f>K9-C9</x:f>
        <x:v>1</x:v>
      </x:c>
      <x:c r="M9" s="54" t="str">
        <x:f>IF(ABS(L9)&lt;=1,"On target",IF(L9&lt;-3,"Below target - review archetype/attributes/caps",IF(L9&gt;3,"Above target - review attributes/weights","Close")))</x:f>
        <x:v>On target</x:v>
      </x:c>
      <x:c r="N9" s="54" t="n">
        <x:f>'Santurce Attribute Matrix'!I$13*0.42+'Santurce Attribute Matrix'!I$12*0.18+'Santurce Attribute Matrix'!I$14*0.08+'Santurce Attribute Matrix'!I$16*0.22+'Santurce Attribute Matrix'!I$30*0.1</x:f>
        <x:v>88.83999999999999</x:v>
      </x:c>
      <x:c r="O9" s="54" t="n">
        <x:f>'Santurce Attribute Matrix'!I$13*0.35+'Santurce Attribute Matrix'!I$16*0.35+'Santurce Attribute Matrix'!I$29*0.12+'Santurce Attribute Matrix'!I$30*0.1+'Santurce Attribute Matrix'!I$12*0.08</x:f>
        <x:v>89.30999999999999</x:v>
      </x:c>
      <x:c r="P9" s="54" t="n">
        <x:f>'Santurce Attribute Matrix'!I$15*0.35+'Santurce Attribute Matrix'!I$18*0.22+'Santurce Attribute Matrix'!I$12*0.18+'Santurce Attribute Matrix'!I$13*0.1+'Santurce Attribute Matrix'!I$7*0.08+'Santurce Attribute Matrix'!I$11*0.07</x:f>
        <x:v>85.69</x:v>
      </x:c>
      <x:c r="Q9" s="54" t="n">
        <x:f>'Santurce Attribute Matrix'!I$7*0.34+'Santurce Attribute Matrix'!I$11*0.22+'Santurce Attribute Matrix'!I$25*0.15+'Santurce Attribute Matrix'!I$26*0.12+'Santurce Attribute Matrix'!I$6*0.1+'Santurce Attribute Matrix'!I$8*0.07</x:f>
        <x:v>83.71000000000001</x:v>
      </x:c>
      <x:c r="R9" s="54" t="n">
        <x:f>'Santurce Attribute Matrix'!I$17*0.45+'Santurce Attribute Matrix'!I$18*0.25+'Santurce Attribute Matrix'!I$30*0.25+'Santurce Attribute Matrix'!I$15*0.05</x:f>
        <x:v>81.44999999999999</x:v>
      </x:c>
      <x:c r="S9" s="54" t="n">
        <x:f>'Santurce Attribute Matrix'!I$17*0.38+'Santurce Attribute Matrix'!I$18*0.27+'Santurce Attribute Matrix'!I$30*0.25+'Santurce Attribute Matrix'!I$15*0.1</x:f>
        <x:v>81.94000000000001</x:v>
      </x:c>
      <x:c r="T9" s="54" t="n">
        <x:f>'Santurce Attribute Matrix'!I$17*0.42+'Santurce Attribute Matrix'!I$30*0.32+'Santurce Attribute Matrix'!I$10*0.16+'Santurce Attribute Matrix'!I$18*0.1</x:f>
        <x:v>81.08</x:v>
      </x:c>
      <x:c r="U9" s="54" t="n">
        <x:f>'Santurce Attribute Matrix'!I$20*0.44+'Santurce Attribute Matrix'!I$31*0.24+'Santurce Attribute Matrix'!I$21*0.14+'Santurce Attribute Matrix'!I$25*0.06+'Santurce Attribute Matrix'!I$27*0.06+'Santurce Attribute Matrix'!I$33*0.06</x:f>
        <x:v>84.56</x:v>
      </x:c>
      <x:c r="V9" s="54" t="n">
        <x:f>'Santurce Attribute Matrix'!I$20*0.32+'Santurce Attribute Matrix'!I$31*0.24+'Santurce Attribute Matrix'!I$27*0.13+'Santurce Attribute Matrix'!I$21*0.12+'Santurce Attribute Matrix'!I$22*0.08+'Santurce Attribute Matrix'!I$25*0.06+'Santurce Attribute Matrix'!I$33*0.05</x:f>
        <x:v>82.27999999999999</x:v>
      </x:c>
      <x:c r="W9" s="54" t="n">
        <x:f>'Santurce Attribute Matrix'!I$19*0.34+'Santurce Attribute Matrix'!I$31*0.24+'Santurce Attribute Matrix'!I$22*0.2+'Santurce Attribute Matrix'!I$27*0.1+'Santurce Attribute Matrix'!I$24*0.08+'Santurce Attribute Matrix'!I$33*0.04</x:f>
        <x:v>77.6</x:v>
      </x:c>
      <x:c r="X9" s="54" t="n">
        <x:f>'Santurce Attribute Matrix'!I$24*0.5+'Santurce Attribute Matrix'!I$23*0.25+'Santurce Attribute Matrix'!I$27*0.1+'Santurce Attribute Matrix'!I$28*0.08+'Santurce Attribute Matrix'!I$33*0.07</x:f>
        <x:v>80.44</x:v>
      </x:c>
      <x:c r="Y9" s="54" t="n">
        <x:f>'Santurce Attribute Matrix'!I$25*0.28+'Santurce Attribute Matrix'!I$26*0.25+'Santurce Attribute Matrix'!I$29*0.22+'Santurce Attribute Matrix'!I$28*0.12+'Santurce Attribute Matrix'!I$27*0.13</x:f>
        <x:v>80.91000000000001</x:v>
      </x:c>
      <x:c r="Z9" s="54" t="n">
        <x:f>'Santurce Attribute Matrix'!I$6*0.24+'Santurce Attribute Matrix'!I$10*0.24+'Santurce Attribute Matrix'!I$9*0.16+'Santurce Attribute Matrix'!I$7*0.12+'Santurce Attribute Matrix'!I$11*0.12+'Santurce Attribute Matrix'!I$27*0.08+'Santurce Attribute Matrix'!I$30*0.04</x:f>
        <x:v>80.4</x:v>
      </x:c>
      <x:c r="AA9" s="54" t="n">
        <x:f>'Santurce Attribute Matrix'!I$13*0.36+'Santurce Attribute Matrix'!I$12*0.18+'Santurce Attribute Matrix'!I$16*0.16+'Santurce Attribute Matrix'!I$14*0.1+'Santurce Attribute Matrix'!I$30*0.12+'Santurce Attribute Matrix'!I$15*0.08</x:f>
        <x:v>88.24</x:v>
      </x:c>
      <x:c r="AB9" s="54" t="n">
        <x:f>'Santurce Attribute Matrix'!I$30*0.34+'Santurce Attribute Matrix'!I$31*0.24+'Santurce Attribute Matrix'!I$32*0.24+'Santurce Attribute Matrix'!I$33*0.18</x:f>
        <x:v>85.84</x:v>
      </x:c>
      <x:c r="AC9" s="54" t="n">
        <x:f>R9*0.45+N9*0.14+P9*0.13+U9*0.1+Y9*0.06+AB9*0.12</x:f>
        <x:v>83.84119999999999</x:v>
      </x:c>
      <x:c r="AD9" s="54" t="n">
        <x:f>P9*0.34+Q9*0.22+N9*0.2+R9*0.1+Y9*0.08+AB9*0.06</x:f>
        <x:v>85.08700000000002</x:v>
      </x:c>
      <x:c r="AE9" s="54" t="n">
        <x:f>U9*0.38+R9*0.22+Y9*0.14+N9*0.12+P9*0.08+AB9*0.06</x:f>
        <x:v>84.04560000000001</x:v>
      </x:c>
      <x:c r="AF9" s="54" t="n">
        <x:f>X9*0.24+U9*0.2+Y9*0.16+R9*0.18+Q9*0.12+N9*0.1</x:f>
        <x:v>82.75340000000001</x:v>
      </x:c>
      <x:c r="AG9" s="54" t="n">
        <x:f>O9*0.35+N9*0.24+R9*0.14+U9*0.1+Y9*0.07+AB9*0.1</x:f>
        <x:v>86.68679999999999</x:v>
      </x:c>
      <x:c r="AH9" s="54" t="n">
        <x:f>O9*0.44+N9*0.26+P9*0.12+U9*0.07+Y9*0.04+AB9*0.05+R9*0.02</x:f>
        <x:v>87.75420000000001</x:v>
      </x:c>
      <x:c r="AI9" s="54" t="n">
        <x:f>P9*0.34+N9*0.22+Q9*0.14+O9*0.12+U9*0.08+Y9*0.06+AB9*0.04</x:f>
        <x:v>86.169</x:v>
      </x:c>
      <x:c r="AJ9" s="54" t="n">
        <x:f>Q9*0.34+P9*0.2+Y9*0.16+U9*0.1+N9*0.1+AB9*0.06+R9*0.04</x:f>
        <x:v>84.2934</x:v>
      </x:c>
      <x:c r="AK9" s="54" t="n">
        <x:f>N9*0.3+O9*0.2+U9*0.26+Y9*0.08+AB9*0.08+P9*0.05+X9*0.03</x:f>
        <x:v>86.5373</x:v>
      </x:c>
      <x:c r="AL9" s="54" t="n">
        <x:f>R9*0.26+P9*0.24+N9*0.18+Q9*0.12+U9*0.1+Y9*0.06+AB9*0.04</x:f>
        <x:v>84.5232</x:v>
      </x:c>
      <x:c r="AM9" s="54" t="n">
        <x:f>X9*0.22+U9*0.18+O9*0.18+P9*0.14+Y9*0.12+N9*0.1+AB9*0.06</x:f>
        <x:v>84.7336</x:v>
      </x:c>
      <x:c r="AN9" s="54" t="n">
        <x:f>P9*0.28+N9*0.22+Q9*0.18+O9*0.12+V9*0.08+Y9*0.07+AB9*0.05</x:f>
        <x:v>85.8611</x:v>
      </x:c>
      <x:c r="AO9" s="54" t="n">
        <x:f>N9*0.28+V9*0.28+O9*0.16+Y9*0.08+X9*0.07+AB9*0.08+P9*0.05</x:f>
        <x:v>85.4585</x:v>
      </x:c>
      <x:c r="AP9" s="54" t="n">
        <x:f>S9*0.32+P9*0.18+N9*0.14+Q9*0.1+V9*0.1+X9*0.07+AB9*0.09</x:f>
        <x:v>84.038</x:v>
      </x:c>
      <x:c r="AQ9" s="54" t="n">
        <x:f>Q9*0.3+Y9*0.18+P9*0.18+V9*0.12+X9*0.08+N9*0.08+AB9*0.06</x:f>
        <x:v>83.6674</x:v>
      </x:c>
      <x:c r="AR9" s="54" t="n">
        <x:f>X9*0.24+V9*0.2+Y9*0.14+Q9*0.12+N9*0.12+S9*0.08+AB9*0.1</x:f>
        <x:v>82.9342</x:v>
      </x:c>
      <x:c r="AS9" s="54" t="n">
        <x:f>O9*0.34+N9*0.24+V9*0.14+P9*0.1+Y9*0.07+X9*0.04+AB9*0.07</x:f>
        <x:v>86.6653</x:v>
      </x:c>
      <x:c r="AT9" s="54" t="n">
        <x:f>AA9*0.32+N9*0.18+X9*0.13+W9*0.13+T9*0.08+Y9*0.06+AB9*0.1</x:f>
        <x:v>84.6982</x:v>
      </x:c>
      <x:c r="AU9" s="54" t="n">
        <x:f>Z9*0.3+X9*0.2+W9*0.16+Q9*0.12+Y9*0.08+T9*0.06+AB9*0.08</x:f>
        <x:v>80.874</x:v>
      </x:c>
      <x:c r="AV9" s="54" t="n">
        <x:f>W9*0.3+X9*0.28+Y9*0.1+Z9*0.1+T9*0.07+AA9*0.06+AB9*0.09</x:f>
        <x:v>80.6298</x:v>
      </x:c>
      <x:c r="AW9" s="54" t="n">
        <x:f>T9*0.28+AA9*0.16+Z9*0.14+X9*0.14+W9*0.12+AB9*0.1+Y9*0.06</x:f>
        <x:v>82.08900000000001</x:v>
      </x:c>
      <x:c r="AX9" s="54" t="n">
        <x:f>Q9*0.24+Z9*0.24+Y9*0.16+X9*0.14+W9*0.12+AB9*0.06+T9*0.04</x:f>
        <x:v>81.29920000000001</x:v>
      </x:c>
      <x:c r="AY9" s="54" t="n">
        <x:f>V9*0.22+AA9*0.2+Y9*0.14+X9*0.14+T9*0.12+Q9*0.08+AB9*0.1</x:f>
        <x:v>83.349</x:v>
      </x:c>
      <x:c r="AZ9" s="54" t="n">
        <x:f>W9*0.36+X9*0.22+Y9*0.1+Z9*0.12+T9*0.06+AB9*0.1+AA9*0.04</x:f>
        <x:v>80.3502</x:v>
      </x:c>
      <x:c r="BA9" s="54" t="n">
        <x:f>X9*0.34+W9*0.24+Z9*0.14+Y9*0.1+AB9*0.08+T9*0.06+AA9*0.04</x:f>
        <x:v>80.58220000000001</x:v>
      </x:c>
      <x:c r="BB9" s="54" t="n">
        <x:f>Z9*0.34+X9*0.18+W9*0.16+T9*0.1+AB9*0.08+Y9*0.08+AA9*0.06</x:f>
        <x:v>80.9736</x:v>
      </x:c>
      <x:c r="BC9" s="54" t="n">
        <x:f>AA9*0.3+N9*0.18+W9*0.16+X9*0.14+T9*0.08+Y9*0.05+AB9*0.09</x:f>
        <x:v>84.39829999999999</x:v>
      </x:c>
      <x:c r="BD9" s="54" t="n">
        <x:f>T9*0.3+Z9*0.18+X9*0.16+W9*0.16+AA9*0.08+AB9*0.08+Y9*0.04</x:f>
        <x:v>81.2452</x:v>
      </x:c>
      <x:c r="BE9" s="54" t="n">
        <x:f>Q9*0.24+Z9*0.24+Y9*0.16+X9*0.16+W9*0.12+AB9*0.06+T9*0.02</x:f>
        <x:v>81.28640000000001</x:v>
      </x:c>
      <x:c r="BF9" s="55" t="n">
        <x:f>W9*0.24+V9*0.2+Y9*0.16+X9*0.16+Q9*0.08+T9*0.08+AB9*0.08</x:f>
        <x:v>80.9464</x:v>
      </x:c>
    </x:row>
    <x:row r="10">
      <x:c r="A10" s="53" t="str">
        <x:f>'Santurce Attribute Matrix'!J$1</x:f>
        <x:v>Isaiah Piñeiro</x:v>
      </x:c>
      <x:c r="B10" s="54" t="str">
        <x:f>'Santurce Attribute Matrix'!J$2</x:f>
        <x:v>SF</x:v>
      </x:c>
      <x:c r="C10" s="54" t="n">
        <x:f>'Santurce Attribute Matrix'!J$5</x:f>
        <x:v>86</x:v>
      </x:c>
      <x:c r="D10" s="54" t="n">
        <x:f>IF(B10="PG",'Santurce Attribute Matrix'!J$18*0.12+'Santurce Attribute Matrix'!J$17*0.115+'Santurce Attribute Matrix'!J$30*0.075+'Santurce Attribute Matrix'!J$15*0.07+'Santurce Attribute Matrix'!J$25*0.065+'Santurce Attribute Matrix'!J$13*0.065+'Santurce Attribute Matrix'!J$7*0.055+'Santurce Attribute Matrix'!J$26*0.055+'Santurce Attribute Matrix'!J$20*0.055+'Santurce Attribute Matrix'!J$21*0.04+'Santurce Attribute Matrix'!J$11*0.04+'Santurce Attribute Matrix'!J$14*0.03+'Santurce Attribute Matrix'!J$12*0.03+'Santurce Attribute Matrix'!J$31*0.03+'Santurce Attribute Matrix'!J$32*0.028+'Santurce Attribute Matrix'!J$29*0.025+'Santurce Attribute Matrix'!J$6*0.015+'Santurce Attribute Matrix'!J$16*0.015+'Santurce Attribute Matrix'!J$33*0.015+'Santurce Attribute Matrix'!J$24*0.012+'Santurce Attribute Matrix'!J$27*0.012+'Santurce Attribute Matrix'!J$28*0.008+'Santurce Attribute Matrix'!J$19*0.008+'Santurce Attribute Matrix'!J$23*0.005+'Santurce Attribute Matrix'!J$8*0.005+'Santurce Attribute Matrix'!J$22*0.003+'Santurce Attribute Matrix'!J$10*0.002+'Santurce Attribute Matrix'!J$9*0.002,IF(B10="SG",'Santurce Attribute Matrix'!J$13*0.11+'Santurce Attribute Matrix'!J$15*0.09+'Santurce Attribute Matrix'!J$7*0.07+'Santurce Attribute Matrix'!J$12*0.065+'Santurce Attribute Matrix'!J$16*0.06+'Santurce Attribute Matrix'!J$20*0.06+'Santurce Attribute Matrix'!J$18*0.06+'Santurce Attribute Matrix'!J$30*0.05+'Santurce Attribute Matrix'!J$11*0.05+'Santurce Attribute Matrix'!J$17*0.045+'Santurce Attribute Matrix'!J$14*0.04+'Santurce Attribute Matrix'!J$25*0.04+'Santurce Attribute Matrix'!J$21*0.035+'Santurce Attribute Matrix'!J$26*0.035+'Santurce Attribute Matrix'!J$32*0.035+'Santurce Attribute Matrix'!J$31*0.025+'Santurce Attribute Matrix'!J$29*0.02+'Santurce Attribute Matrix'!J$33*0.02+'Santurce Attribute Matrix'!J$6*0.015+'Santurce Attribute Matrix'!J$27*0.015+'Santurce Attribute Matrix'!J$28*0.015+'Santurce Attribute Matrix'!J$24*0.015+'Santurce Attribute Matrix'!J$19*0.01+'Santurce Attribute Matrix'!J$23*0.005+'Santurce Attribute Matrix'!J$8*0.005+'Santurce Attribute Matrix'!J$22*0.005+'Santurce Attribute Matrix'!J$10*0.003+'Santurce Attribute Matrix'!J$9*0.002,IF(B10="SF",'Santurce Attribute Matrix'!J$20*0.075+'Santurce Attribute Matrix'!J$13*0.075+'Santurce Attribute Matrix'!J$7*0.055+'Santurce Attribute Matrix'!J$15*0.055+'Santurce Attribute Matrix'!J$16*0.055+'Santurce Attribute Matrix'!J$30*0.05+'Santurce Attribute Matrix'!J$31*0.05+'Santurce Attribute Matrix'!J$12*0.05+'Santurce Attribute Matrix'!J$27*0.045+'Santurce Attribute Matrix'!J$25*0.045+'Santurce Attribute Matrix'!J$26*0.04+'Santurce Attribute Matrix'!J$18*0.04+'Santurce Attribute Matrix'!J$24*0.04+'Santurce Attribute Matrix'!J$11*0.04+'Santurce Attribute Matrix'!J$21*0.035+'Santurce Attribute Matrix'!J$14*0.03+'Santurce Attribute Matrix'!J$28*0.025+'Santurce Attribute Matrix'!J$17*0.025+'Santurce Attribute Matrix'!J$29*0.025+'Santurce Attribute Matrix'!J$32*0.025+'Santurce Attribute Matrix'!J$33*0.025+'Santurce Attribute Matrix'!J$6*0.02+'Santurce Attribute Matrix'!J$19*0.02+'Santurce Attribute Matrix'!J$23*0.015+'Santurce Attribute Matrix'!J$8*0.015+'Santurce Attribute Matrix'!J$22*0.01+'Santurce Attribute Matrix'!J$10*0.008+'Santurce Attribute Matrix'!J$9*0.007,IF(B10="PF",'Santurce Attribute Matrix'!J$19*0.08+'Santurce Attribute Matrix'!J$24*0.075+'Santurce Attribute Matrix'!J$6*0.07+'Santurce Attribute Matrix'!J$27*0.065+'Santurce Attribute Matrix'!J$23*0.06+'Santurce Attribute Matrix'!J$10*0.045+'Santurce Attribute Matrix'!J$31*0.045+'Santurce Attribute Matrix'!J$12*0.045+'Santurce Attribute Matrix'!J$9*0.04+'Santurce Attribute Matrix'!J$11*0.04+'Santurce Attribute Matrix'!J$22*0.04+'Santurce Attribute Matrix'!J$30*0.04+'Santurce Attribute Matrix'!J$33*0.04+'Santurce Attribute Matrix'!J$13*0.04+'Santurce Attribute Matrix'!J$7*0.04+'Santurce Attribute Matrix'!J$28*0.035+'Santurce Attribute Matrix'!J$20*0.03+'Santurce Attribute Matrix'!J$29*0.025+'Santurce Attribute Matrix'!J$14*0.02+'Santurce Attribute Matrix'!J$25*0.02+'Santurce Attribute Matrix'!J$26*0.015+'Santurce Attribute Matrix'!J$17*0.015+'Santurce Attribute Matrix'!J$16*0.015+'Santurce Attribute Matrix'!J$32*0.015+'Santurce Attribute Matrix'!J$8*0.015+'Santurce Attribute Matrix'!J$18*0.01+'Santurce Attribute Matrix'!J$21*0.01+'Santurce Attribute Matrix'!J$15*0.01,'Santurce Attribute Matrix'!J$19*0.11+'Santurce Attribute Matrix'!J$24*0.1+'Santurce Attribute Matrix'!J$6*0.08+'Santurce Attribute Matrix'!J$27*0.075+'Santurce Attribute Matrix'!J$22*0.075+'Santurce Attribute Matrix'!J$23*0.065+'Santurce Attribute Matrix'!J$9*0.055+'Santurce Attribute Matrix'!J$31*0.055+'Santurce Attribute Matrix'!J$10*0.05+'Santurce Attribute Matrix'!J$11*0.045+'Santurce Attribute Matrix'!J$30*0.035+'Santurce Attribute Matrix'!J$28*0.035+'Santurce Attribute Matrix'!J$33*0.035+'Santurce Attribute Matrix'!J$14*0.02+'Santurce Attribute Matrix'!J$29*0.02+'Santurce Attribute Matrix'!J$12*0.02+'Santurce Attribute Matrix'!J$20*0.015+'Santurce Attribute Matrix'!J$13*0.015+'Santurce Attribute Matrix'!J$17*0.015+'Santurce Attribute Matrix'!J$25*0.015+'Santurce Attribute Matrix'!J$26*0.01+'Santurce Attribute Matrix'!J$16*0.01+'Santurce Attribute Matrix'!J$7*0.01+'Santurce Attribute Matrix'!J$8*0.01+'Santurce Attribute Matrix'!J$32*0.01+'Santurce Attribute Matrix'!J$18*0.005+'Santurce Attribute Matrix'!J$21*0.005+'Santurce Attribute Matrix'!J$15*0.005))))</x:f>
        <x:v>85.64500000000001</x:v>
      </x:c>
      <x:c r="E10" s="54" t="str">
        <x:f>IF(B10="PG",INDEX($AC$1:$AG$1,1,MATCH(F10,AC10:AG10,0)),IF(B10="SG",INDEX($AH$1:$AM$1,1,MATCH(F10,AH10:AM10,0)),IF(B10="SF",INDEX($AN$1:$AS$1,1,MATCH(F10,AN10:AS10,0)),IF(B10="PF",INDEX($AT$1:$AY$1,1,MATCH(F10,AT10:AY10,0)),INDEX($AZ$1:$BF$1,1,MATCH(F10,AZ10:BF10,0))))))</x:f>
        <x:v>reboundingWing</x:v>
      </x:c>
      <x:c r="F10" s="54" t="n">
        <x:f>IF(B10="PG",MAX(AC10:AG10),IF(B10="SG",MAX(AH10:AM10),IF(B10="SF",MAX(AN10:AS10),IF(B10="PF",MAX(AT10:AY10),MAX(AZ10:BF10)))))</x:f>
        <x:v>85.8908</x:v>
      </x:c>
      <x:c r="G10" s="54" t="n">
        <x:f>D10*0.70</x:f>
        <x:v>59.9515</x:v>
      </x:c>
      <x:c r="H10" s="54" t="n">
        <x:f>F10*0.30</x:f>
        <x:v>25.767239999999997</x:v>
      </x:c>
      <x:c r="I10" s="54" t="n">
        <x:f>G10+H10</x:f>
        <x:v>85.71874</x:v>
      </x:c>
      <x:c r="J10" s="54" t="n">
        <x:f>MIN(D10+6,MAX(D10-2,I10))</x:f>
        <x:v>85.71874</x:v>
      </x:c>
      <x:c r="K10" s="54" t="n">
        <x:f>ROUND(MAX(25,MIN(99,J10)),0)</x:f>
        <x:v>86</x:v>
      </x:c>
      <x:c r="L10" s="54" t="n">
        <x:f>K10-C10</x:f>
        <x:v>0</x:v>
      </x:c>
      <x:c r="M10" s="54" t="str">
        <x:f>IF(ABS(L10)&lt;=1,"On target",IF(L10&lt;-3,"Below target - review archetype/attributes/caps",IF(L10&gt;3,"Above target - review attributes/weights","Close")))</x:f>
        <x:v>On target</x:v>
      </x:c>
      <x:c r="N10" s="54" t="n">
        <x:f>'Santurce Attribute Matrix'!J$13*0.42+'Santurce Attribute Matrix'!J$12*0.18+'Santurce Attribute Matrix'!J$14*0.08+'Santurce Attribute Matrix'!J$16*0.22+'Santurce Attribute Matrix'!J$30*0.1</x:f>
        <x:v>85.4</x:v>
      </x:c>
      <x:c r="O10" s="54" t="n">
        <x:f>'Santurce Attribute Matrix'!J$13*0.35+'Santurce Attribute Matrix'!J$16*0.35+'Santurce Attribute Matrix'!J$29*0.12+'Santurce Attribute Matrix'!J$30*0.1+'Santurce Attribute Matrix'!J$12*0.08</x:f>
        <x:v>85.67999999999999</x:v>
      </x:c>
      <x:c r="P10" s="54" t="n">
        <x:f>'Santurce Attribute Matrix'!J$15*0.35+'Santurce Attribute Matrix'!J$18*0.22+'Santurce Attribute Matrix'!J$12*0.18+'Santurce Attribute Matrix'!J$13*0.1+'Santurce Attribute Matrix'!J$7*0.08+'Santurce Attribute Matrix'!J$11*0.07</x:f>
        <x:v>86.06</x:v>
      </x:c>
      <x:c r="Q10" s="54" t="n">
        <x:f>'Santurce Attribute Matrix'!J$7*0.34+'Santurce Attribute Matrix'!J$11*0.22+'Santurce Attribute Matrix'!J$25*0.15+'Santurce Attribute Matrix'!J$26*0.12+'Santurce Attribute Matrix'!J$6*0.1+'Santurce Attribute Matrix'!J$8*0.07</x:f>
        <x:v>86.94</x:v>
      </x:c>
      <x:c r="R10" s="54" t="n">
        <x:f>'Santurce Attribute Matrix'!J$17*0.45+'Santurce Attribute Matrix'!J$18*0.25+'Santurce Attribute Matrix'!J$30*0.25+'Santurce Attribute Matrix'!J$15*0.05</x:f>
        <x:v>83.15</x:v>
      </x:c>
      <x:c r="S10" s="54" t="n">
        <x:f>'Santurce Attribute Matrix'!J$17*0.38+'Santurce Attribute Matrix'!J$18*0.27+'Santurce Attribute Matrix'!J$30*0.25+'Santurce Attribute Matrix'!J$15*0.1</x:f>
        <x:v>83.58999999999999</x:v>
      </x:c>
      <x:c r="T10" s="54" t="n">
        <x:f>'Santurce Attribute Matrix'!J$17*0.42+'Santurce Attribute Matrix'!J$30*0.32+'Santurce Attribute Matrix'!J$10*0.16+'Santurce Attribute Matrix'!J$18*0.1</x:f>
        <x:v>83.72</x:v>
      </x:c>
      <x:c r="U10" s="54" t="n">
        <x:f>'Santurce Attribute Matrix'!J$20*0.44+'Santurce Attribute Matrix'!J$31*0.24+'Santurce Attribute Matrix'!J$21*0.14+'Santurce Attribute Matrix'!J$25*0.06+'Santurce Attribute Matrix'!J$27*0.06+'Santurce Attribute Matrix'!J$33*0.06</x:f>
        <x:v>85.32000000000001</x:v>
      </x:c>
      <x:c r="V10" s="54" t="n">
        <x:f>'Santurce Attribute Matrix'!J$20*0.32+'Santurce Attribute Matrix'!J$31*0.24+'Santurce Attribute Matrix'!J$27*0.13+'Santurce Attribute Matrix'!J$21*0.12+'Santurce Attribute Matrix'!J$22*0.08+'Santurce Attribute Matrix'!J$25*0.06+'Santurce Attribute Matrix'!J$33*0.05</x:f>
        <x:v>84.37999999999998</x:v>
      </x:c>
      <x:c r="W10" s="54" t="n">
        <x:f>'Santurce Attribute Matrix'!J$19*0.34+'Santurce Attribute Matrix'!J$31*0.24+'Santurce Attribute Matrix'!J$22*0.2+'Santurce Attribute Matrix'!J$27*0.1+'Santurce Attribute Matrix'!J$24*0.08+'Santurce Attribute Matrix'!J$33*0.04</x:f>
        <x:v>83.96</x:v>
      </x:c>
      <x:c r="X10" s="54" t="n">
        <x:f>'Santurce Attribute Matrix'!J$24*0.5+'Santurce Attribute Matrix'!J$23*0.25+'Santurce Attribute Matrix'!J$27*0.1+'Santurce Attribute Matrix'!J$28*0.08+'Santurce Attribute Matrix'!J$33*0.07</x:f>
        <x:v>88.32</x:v>
      </x:c>
      <x:c r="Y10" s="54" t="n">
        <x:f>'Santurce Attribute Matrix'!J$25*0.28+'Santurce Attribute Matrix'!J$26*0.25+'Santurce Attribute Matrix'!J$29*0.22+'Santurce Attribute Matrix'!J$28*0.12+'Santurce Attribute Matrix'!J$27*0.13</x:f>
        <x:v>83.4</x:v>
      </x:c>
      <x:c r="Z10" s="54" t="n">
        <x:f>'Santurce Attribute Matrix'!J$6*0.24+'Santurce Attribute Matrix'!J$10*0.24+'Santurce Attribute Matrix'!J$9*0.16+'Santurce Attribute Matrix'!J$7*0.12+'Santurce Attribute Matrix'!J$11*0.12+'Santurce Attribute Matrix'!J$27*0.08+'Santurce Attribute Matrix'!J$30*0.04</x:f>
        <x:v>86.04</x:v>
      </x:c>
      <x:c r="AA10" s="54" t="n">
        <x:f>'Santurce Attribute Matrix'!J$13*0.36+'Santurce Attribute Matrix'!J$12*0.18+'Santurce Attribute Matrix'!J$16*0.16+'Santurce Attribute Matrix'!J$14*0.1+'Santurce Attribute Matrix'!J$30*0.12+'Santurce Attribute Matrix'!J$15*0.08</x:f>
        <x:v>85.78000000000002</x:v>
      </x:c>
      <x:c r="AB10" s="54" t="n">
        <x:f>'Santurce Attribute Matrix'!J$30*0.34+'Santurce Attribute Matrix'!J$31*0.24+'Santurce Attribute Matrix'!J$32*0.24+'Santurce Attribute Matrix'!J$33*0.18</x:f>
        <x:v>87.74</x:v>
      </x:c>
      <x:c r="AC10" s="54" t="n">
        <x:f>R10*0.45+N10*0.14+P10*0.13+U10*0.1+Y10*0.06+AB10*0.12</x:f>
        <x:v>84.62610000000002</x:v>
      </x:c>
      <x:c r="AD10" s="54" t="n">
        <x:f>P10*0.34+Q10*0.22+N10*0.2+R10*0.1+Y10*0.08+AB10*0.06</x:f>
        <x:v>85.7186</x:v>
      </x:c>
      <x:c r="AE10" s="54" t="n">
        <x:f>U10*0.38+R10*0.22+Y10*0.14+N10*0.12+P10*0.08+AB10*0.06</x:f>
        <x:v>84.7878</x:v>
      </x:c>
      <x:c r="AF10" s="54" t="n">
        <x:f>X10*0.24+U10*0.2+Y10*0.16+R10*0.18+Q10*0.12+N10*0.1</x:f>
        <x:v>85.54460000000002</x:v>
      </x:c>
      <x:c r="AG10" s="54" t="n">
        <x:f>O10*0.35+N10*0.24+R10*0.14+U10*0.1+Y10*0.07+AB10*0.1</x:f>
        <x:v>85.269</x:v>
      </x:c>
      <x:c r="AH10" s="54" t="n">
        <x:f>O10*0.44+N10*0.26+P10*0.12+U10*0.07+Y10*0.04+AB10*0.05+R10*0.02</x:f>
        <x:v>85.5888</x:v>
      </x:c>
      <x:c r="AI10" s="54" t="n">
        <x:f>P10*0.34+N10*0.22+Q10*0.14+O10*0.12+U10*0.08+Y10*0.06+AB10*0.04</x:f>
        <x:v>85.8408</x:v>
      </x:c>
      <x:c r="AJ10" s="54" t="n">
        <x:f>Q10*0.34+P10*0.2+Y10*0.16+U10*0.1+N10*0.1+AB10*0.06+R10*0.04</x:f>
        <x:v>85.77799999999999</x:v>
      </x:c>
      <x:c r="AK10" s="54" t="n">
        <x:f>N10*0.3+O10*0.2+U10*0.26+Y10*0.08+AB10*0.08+P10*0.05+X10*0.03</x:f>
        <x:v>85.583</x:v>
      </x:c>
      <x:c r="AL10" s="54" t="n">
        <x:f>R10*0.26+P10*0.24+N10*0.18+Q10*0.12+U10*0.1+Y10*0.06+AB10*0.04</x:f>
        <x:v>85.1238</x:v>
      </x:c>
      <x:c r="AM10" s="54" t="n">
        <x:f>X10*0.22+U10*0.18+O10*0.18+P10*0.14+Y10*0.12+N10*0.1+AB10*0.06</x:f>
        <x:v>86.07119999999999</x:v>
      </x:c>
      <x:c r="AN10" s="54" t="n">
        <x:f>P10*0.28+N10*0.22+Q10*0.18+O10*0.12+V10*0.08+Y10*0.07+AB10*0.05</x:f>
        <x:v>85.791</x:v>
      </x:c>
      <x:c r="AO10" s="54" t="n">
        <x:f>N10*0.28+V10*0.28+O10*0.16+Y10*0.08+X10*0.07+AB10*0.08+P10*0.05</x:f>
        <x:v>85.42379999999999</x:v>
      </x:c>
      <x:c r="AP10" s="54" t="n">
        <x:f>S10*0.32+P10*0.18+N10*0.14+Q10*0.1+V10*0.1+X10*0.07+AB10*0.09</x:f>
        <x:v>85.4066</x:v>
      </x:c>
      <x:c r="AQ10" s="54" t="n">
        <x:f>Q10*0.3+Y10*0.18+P10*0.18+V10*0.12+X10*0.08+N10*0.08+AB10*0.06</x:f>
        <x:v>85.8724</x:v>
      </x:c>
      <x:c r="AR10" s="54" t="n">
        <x:f>X10*0.24+V10*0.2+Y10*0.14+Q10*0.12+N10*0.12+S10*0.08+AB10*0.1</x:f>
        <x:v>85.8908</x:v>
      </x:c>
      <x:c r="AS10" s="54" t="n">
        <x:f>O10*0.34+N10*0.24+V10*0.14+P10*0.1+Y10*0.07+X10*0.04+AB10*0.07</x:f>
        <x:v>85.559</x:v>
      </x:c>
      <x:c r="AT10" s="54" t="n">
        <x:f>AA10*0.32+N10*0.18+X10*0.13+W10*0.13+T10*0.08+Y10*0.06+AB10*0.1</x:f>
        <x:v>85.6936</x:v>
      </x:c>
      <x:c r="AU10" s="54" t="n">
        <x:f>Z10*0.3+X10*0.2+W10*0.16+Q10*0.12+Y10*0.08+T10*0.06+AB10*0.08</x:f>
        <x:v>86.0568</x:v>
      </x:c>
      <x:c r="AV10" s="54" t="n">
        <x:f>W10*0.3+X10*0.28+Y10*0.1+Z10*0.1+T10*0.07+AA10*0.06+AB10*0.09</x:f>
        <x:v>85.7654</x:v>
      </x:c>
      <x:c r="AW10" s="54" t="n">
        <x:f>T10*0.28+AA10*0.16+Z10*0.14+X10*0.14+W10*0.12+AB10*0.1+Y10*0.06</x:f>
        <x:v>85.43</x:v>
      </x:c>
      <x:c r="AX10" s="54" t="n">
        <x:f>Q10*0.24+Z10*0.24+Y10*0.16+X10*0.14+W10*0.12+AB10*0.06+T10*0.04</x:f>
        <x:v>85.91239999999998</x:v>
      </x:c>
      <x:c r="AY10" s="54" t="n">
        <x:f>V10*0.22+AA10*0.2+Y10*0.14+X10*0.14+T10*0.12+Q10*0.08+AB10*0.1</x:f>
        <x:v>85.53600000000002</x:v>
      </x:c>
      <x:c r="AZ10" s="54" t="n">
        <x:f>W10*0.36+X10*0.22+Y10*0.1+Z10*0.12+T10*0.06+AB10*0.1+AA10*0.04</x:f>
        <x:v>85.5492</x:v>
      </x:c>
      <x:c r="BA10" s="54" t="n">
        <x:f>X10*0.34+W10*0.24+Z10*0.14+Y10*0.1+AB10*0.08+T10*0.06+AA10*0.04</x:f>
        <x:v>86.0384</x:v>
      </x:c>
      <x:c r="BB10" s="54" t="n">
        <x:f>Z10*0.34+X10*0.18+W10*0.16+T10*0.1+AB10*0.08+Y10*0.08+AA10*0.06</x:f>
        <x:v>85.7948</x:v>
      </x:c>
      <x:c r="BC10" s="54" t="n">
        <x:f>AA10*0.3+N10*0.18+W10*0.16+X10*0.14+T10*0.08+Y10*0.05+AB10*0.09</x:f>
        <x:v>85.6686</x:v>
      </x:c>
      <x:c r="BD10" s="54" t="n">
        <x:f>T10*0.3+Z10*0.18+X10*0.16+W10*0.16+AA10*0.08+AB10*0.08+Y10*0.04</x:f>
        <x:v>85.38560000000001</x:v>
      </x:c>
      <x:c r="BE10" s="54" t="n">
        <x:f>Q10*0.24+Z10*0.24+Y10*0.16+X10*0.16+W10*0.12+AB10*0.06+T10*0.02</x:f>
        <x:v>86.00439999999999</x:v>
      </x:c>
      <x:c r="BF10" s="55" t="n">
        <x:f>W10*0.24+V10*0.2+Y10*0.16+X10*0.16+Q10*0.08+T10*0.08+AB10*0.08</x:f>
        <x:v>85.1736</x:v>
      </x:c>
    </x:row>
    <x:row r="11">
      <x:c r="A11" s="53" t="str">
        <x:f>'Santurce Attribute Matrix'!K$1</x:f>
        <x:v>Tyler Polo</x:v>
      </x:c>
      <x:c r="B11" s="54" t="str">
        <x:f>'Santurce Attribute Matrix'!K$2</x:f>
        <x:v>PF</x:v>
      </x:c>
      <x:c r="C11" s="54" t="n">
        <x:f>'Santurce Attribute Matrix'!K$5</x:f>
        <x:v>62</x:v>
      </x:c>
      <x:c r="D11" s="54" t="n">
        <x:f>IF(B11="PG",'Santurce Attribute Matrix'!K$18*0.12+'Santurce Attribute Matrix'!K$17*0.115+'Santurce Attribute Matrix'!K$30*0.075+'Santurce Attribute Matrix'!K$15*0.07+'Santurce Attribute Matrix'!K$25*0.065+'Santurce Attribute Matrix'!K$13*0.065+'Santurce Attribute Matrix'!K$7*0.055+'Santurce Attribute Matrix'!K$26*0.055+'Santurce Attribute Matrix'!K$20*0.055+'Santurce Attribute Matrix'!K$21*0.04+'Santurce Attribute Matrix'!K$11*0.04+'Santurce Attribute Matrix'!K$14*0.03+'Santurce Attribute Matrix'!K$12*0.03+'Santurce Attribute Matrix'!K$31*0.03+'Santurce Attribute Matrix'!K$32*0.028+'Santurce Attribute Matrix'!K$29*0.025+'Santurce Attribute Matrix'!K$6*0.015+'Santurce Attribute Matrix'!K$16*0.015+'Santurce Attribute Matrix'!K$33*0.015+'Santurce Attribute Matrix'!K$24*0.012+'Santurce Attribute Matrix'!K$27*0.012+'Santurce Attribute Matrix'!K$28*0.008+'Santurce Attribute Matrix'!K$19*0.008+'Santurce Attribute Matrix'!K$23*0.005+'Santurce Attribute Matrix'!K$8*0.005+'Santurce Attribute Matrix'!K$22*0.003+'Santurce Attribute Matrix'!K$10*0.002+'Santurce Attribute Matrix'!K$9*0.002,IF(B11="SG",'Santurce Attribute Matrix'!K$13*0.11+'Santurce Attribute Matrix'!K$15*0.09+'Santurce Attribute Matrix'!K$7*0.07+'Santurce Attribute Matrix'!K$12*0.065+'Santurce Attribute Matrix'!K$16*0.06+'Santurce Attribute Matrix'!K$20*0.06+'Santurce Attribute Matrix'!K$18*0.06+'Santurce Attribute Matrix'!K$30*0.05+'Santurce Attribute Matrix'!K$11*0.05+'Santurce Attribute Matrix'!K$17*0.045+'Santurce Attribute Matrix'!K$14*0.04+'Santurce Attribute Matrix'!K$25*0.04+'Santurce Attribute Matrix'!K$21*0.035+'Santurce Attribute Matrix'!K$26*0.035+'Santurce Attribute Matrix'!K$32*0.035+'Santurce Attribute Matrix'!K$31*0.025+'Santurce Attribute Matrix'!K$29*0.02+'Santurce Attribute Matrix'!K$33*0.02+'Santurce Attribute Matrix'!K$6*0.015+'Santurce Attribute Matrix'!K$27*0.015+'Santurce Attribute Matrix'!K$28*0.015+'Santurce Attribute Matrix'!K$24*0.015+'Santurce Attribute Matrix'!K$19*0.01+'Santurce Attribute Matrix'!K$23*0.005+'Santurce Attribute Matrix'!K$8*0.005+'Santurce Attribute Matrix'!K$22*0.005+'Santurce Attribute Matrix'!K$10*0.003+'Santurce Attribute Matrix'!K$9*0.002,IF(B11="SF",'Santurce Attribute Matrix'!K$20*0.075+'Santurce Attribute Matrix'!K$13*0.075+'Santurce Attribute Matrix'!K$7*0.055+'Santurce Attribute Matrix'!K$15*0.055+'Santurce Attribute Matrix'!K$16*0.055+'Santurce Attribute Matrix'!K$30*0.05+'Santurce Attribute Matrix'!K$31*0.05+'Santurce Attribute Matrix'!K$12*0.05+'Santurce Attribute Matrix'!K$27*0.045+'Santurce Attribute Matrix'!K$25*0.045+'Santurce Attribute Matrix'!K$26*0.04+'Santurce Attribute Matrix'!K$18*0.04+'Santurce Attribute Matrix'!K$24*0.04+'Santurce Attribute Matrix'!K$11*0.04+'Santurce Attribute Matrix'!K$21*0.035+'Santurce Attribute Matrix'!K$14*0.03+'Santurce Attribute Matrix'!K$28*0.025+'Santurce Attribute Matrix'!K$17*0.025+'Santurce Attribute Matrix'!K$29*0.025+'Santurce Attribute Matrix'!K$32*0.025+'Santurce Attribute Matrix'!K$33*0.025+'Santurce Attribute Matrix'!K$6*0.02+'Santurce Attribute Matrix'!K$19*0.02+'Santurce Attribute Matrix'!K$23*0.015+'Santurce Attribute Matrix'!K$8*0.015+'Santurce Attribute Matrix'!K$22*0.01+'Santurce Attribute Matrix'!K$10*0.008+'Santurce Attribute Matrix'!K$9*0.007,IF(B11="PF",'Santurce Attribute Matrix'!K$19*0.08+'Santurce Attribute Matrix'!K$24*0.075+'Santurce Attribute Matrix'!K$6*0.07+'Santurce Attribute Matrix'!K$27*0.065+'Santurce Attribute Matrix'!K$23*0.06+'Santurce Attribute Matrix'!K$10*0.045+'Santurce Attribute Matrix'!K$31*0.045+'Santurce Attribute Matrix'!K$12*0.045+'Santurce Attribute Matrix'!K$9*0.04+'Santurce Attribute Matrix'!K$11*0.04+'Santurce Attribute Matrix'!K$22*0.04+'Santurce Attribute Matrix'!K$30*0.04+'Santurce Attribute Matrix'!K$33*0.04+'Santurce Attribute Matrix'!K$13*0.04+'Santurce Attribute Matrix'!K$7*0.04+'Santurce Attribute Matrix'!K$28*0.035+'Santurce Attribute Matrix'!K$20*0.03+'Santurce Attribute Matrix'!K$29*0.025+'Santurce Attribute Matrix'!K$14*0.02+'Santurce Attribute Matrix'!K$25*0.02+'Santurce Attribute Matrix'!K$26*0.015+'Santurce Attribute Matrix'!K$17*0.015+'Santurce Attribute Matrix'!K$16*0.015+'Santurce Attribute Matrix'!K$32*0.015+'Santurce Attribute Matrix'!K$8*0.015+'Santurce Attribute Matrix'!K$18*0.01+'Santurce Attribute Matrix'!K$21*0.01+'Santurce Attribute Matrix'!K$15*0.01,'Santurce Attribute Matrix'!K$19*0.11+'Santurce Attribute Matrix'!K$24*0.1+'Santurce Attribute Matrix'!K$6*0.08+'Santurce Attribute Matrix'!K$27*0.075+'Santurce Attribute Matrix'!K$22*0.075+'Santurce Attribute Matrix'!K$23*0.065+'Santurce Attribute Matrix'!K$9*0.055+'Santurce Attribute Matrix'!K$31*0.055+'Santurce Attribute Matrix'!K$10*0.05+'Santurce Attribute Matrix'!K$11*0.045+'Santurce Attribute Matrix'!K$30*0.035+'Santurce Attribute Matrix'!K$28*0.035+'Santurce Attribute Matrix'!K$33*0.035+'Santurce Attribute Matrix'!K$14*0.02+'Santurce Attribute Matrix'!K$29*0.02+'Santurce Attribute Matrix'!K$12*0.02+'Santurce Attribute Matrix'!K$20*0.015+'Santurce Attribute Matrix'!K$13*0.015+'Santurce Attribute Matrix'!K$17*0.015+'Santurce Attribute Matrix'!K$25*0.015+'Santurce Attribute Matrix'!K$26*0.01+'Santurce Attribute Matrix'!K$16*0.01+'Santurce Attribute Matrix'!K$7*0.01+'Santurce Attribute Matrix'!K$8*0.01+'Santurce Attribute Matrix'!K$32*0.01+'Santurce Attribute Matrix'!K$18*0.005+'Santurce Attribute Matrix'!K$21*0.005+'Santurce Attribute Matrix'!K$15*0.005))))</x:f>
        <x:v>61.739999999999995</x:v>
      </x:c>
      <x:c r="E11" s="54" t="str">
        <x:f>IF(B11="PG",INDEX($AC$1:$AG$1,1,MATCH(F11,AC11:AG11,0)),IF(B11="SG",INDEX($AH$1:$AM$1,1,MATCH(F11,AH11:AM11,0)),IF(B11="SF",INDEX($AN$1:$AS$1,1,MATCH(F11,AN11:AS11,0)),IF(B11="PF",INDEX($AT$1:$AY$1,1,MATCH(F11,AT11:AY11,0)),INDEX($AZ$1:$BF$1,1,MATCH(F11,AZ11:BF11,0))))))</x:f>
        <x:v>stretchFour</x:v>
      </x:c>
      <x:c r="F11" s="54" t="n">
        <x:f>IF(B11="PG",MAX(AC11:AG11),IF(B11="SG",MAX(AH11:AM11),IF(B11="SF",MAX(AN11:AS11),IF(B11="PF",MAX(AT11:AY11),MAX(AZ11:BF11)))))</x:f>
        <x:v>64.73610000000001</x:v>
      </x:c>
      <x:c r="G11" s="54" t="n">
        <x:f>D11*0.70</x:f>
        <x:v>43.217999999999996</x:v>
      </x:c>
      <x:c r="H11" s="54" t="n">
        <x:f>F11*0.30</x:f>
        <x:v>19.420830000000002</x:v>
      </x:c>
      <x:c r="I11" s="54" t="n">
        <x:f>G11+H11</x:f>
        <x:v>62.63883</x:v>
      </x:c>
      <x:c r="J11" s="54" t="n">
        <x:f>MIN(D11+6,MAX(D11-2,I11))</x:f>
        <x:v>62.63883</x:v>
      </x:c>
      <x:c r="K11" s="54" t="n">
        <x:f>ROUND(MAX(25,MIN(99,J11)),0)</x:f>
        <x:v>63</x:v>
      </x:c>
      <x:c r="L11" s="54" t="n">
        <x:f>K11-C11</x:f>
        <x:v>1</x:v>
      </x:c>
      <x:c r="M11" s="54" t="str">
        <x:f>IF(ABS(L11)&lt;=1,"On target",IF(L11&lt;-3,"Below target - review archetype/attributes/caps",IF(L11&gt;3,"Above target - review attributes/weights","Close")))</x:f>
        <x:v>On target</x:v>
      </x:c>
      <x:c r="N11" s="54" t="n">
        <x:f>'Santurce Attribute Matrix'!K$13*0.42+'Santurce Attribute Matrix'!K$12*0.18+'Santurce Attribute Matrix'!K$14*0.08+'Santurce Attribute Matrix'!K$16*0.22+'Santurce Attribute Matrix'!K$30*0.1</x:f>
        <x:v>66.5</x:v>
      </x:c>
      <x:c r="O11" s="54" t="n">
        <x:f>'Santurce Attribute Matrix'!K$13*0.35+'Santurce Attribute Matrix'!K$16*0.35+'Santurce Attribute Matrix'!K$29*0.12+'Santurce Attribute Matrix'!K$30*0.1+'Santurce Attribute Matrix'!K$12*0.08</x:f>
        <x:v>67.07</x:v>
      </x:c>
      <x:c r="P11" s="54" t="n">
        <x:f>'Santurce Attribute Matrix'!K$15*0.35+'Santurce Attribute Matrix'!K$18*0.22+'Santurce Attribute Matrix'!K$12*0.18+'Santurce Attribute Matrix'!K$13*0.1+'Santurce Attribute Matrix'!K$7*0.08+'Santurce Attribute Matrix'!K$11*0.07</x:f>
        <x:v>58.459999999999994</x:v>
      </x:c>
      <x:c r="Q11" s="54" t="n">
        <x:f>'Santurce Attribute Matrix'!K$7*0.34+'Santurce Attribute Matrix'!K$11*0.22+'Santurce Attribute Matrix'!K$25*0.15+'Santurce Attribute Matrix'!K$26*0.12+'Santurce Attribute Matrix'!K$6*0.1+'Santurce Attribute Matrix'!K$8*0.07</x:f>
        <x:v>57.7</x:v>
      </x:c>
      <x:c r="R11" s="54" t="n">
        <x:f>'Santurce Attribute Matrix'!K$17*0.45+'Santurce Attribute Matrix'!K$18*0.25+'Santurce Attribute Matrix'!K$30*0.25+'Santurce Attribute Matrix'!K$15*0.05</x:f>
        <x:v>59.15</x:v>
      </x:c>
      <x:c r="S11" s="54" t="n">
        <x:f>'Santurce Attribute Matrix'!K$17*0.38+'Santurce Attribute Matrix'!K$18*0.27+'Santurce Attribute Matrix'!K$30*0.25+'Santurce Attribute Matrix'!K$15*0.1</x:f>
        <x:v>58.99</x:v>
      </x:c>
      <x:c r="T11" s="54" t="n">
        <x:f>'Santurce Attribute Matrix'!K$17*0.42+'Santurce Attribute Matrix'!K$30*0.32+'Santurce Attribute Matrix'!K$10*0.16+'Santurce Attribute Matrix'!K$18*0.1</x:f>
        <x:v>59.78</x:v>
      </x:c>
      <x:c r="U11" s="54" t="n">
        <x:f>'Santurce Attribute Matrix'!K$20*0.44+'Santurce Attribute Matrix'!K$31*0.24+'Santurce Attribute Matrix'!K$21*0.14+'Santurce Attribute Matrix'!K$25*0.06+'Santurce Attribute Matrix'!K$27*0.06+'Santurce Attribute Matrix'!K$33*0.06</x:f>
        <x:v>62.82</x:v>
      </x:c>
      <x:c r="V11" s="54" t="n">
        <x:f>'Santurce Attribute Matrix'!K$20*0.32+'Santurce Attribute Matrix'!K$31*0.24+'Santurce Attribute Matrix'!K$27*0.13+'Santurce Attribute Matrix'!K$21*0.12+'Santurce Attribute Matrix'!K$22*0.08+'Santurce Attribute Matrix'!K$25*0.06+'Santurce Attribute Matrix'!K$33*0.05</x:f>
        <x:v>63.46</x:v>
      </x:c>
      <x:c r="W11" s="54" t="n">
        <x:f>'Santurce Attribute Matrix'!K$19*0.34+'Santurce Attribute Matrix'!K$31*0.24+'Santurce Attribute Matrix'!K$22*0.2+'Santurce Attribute Matrix'!K$27*0.1+'Santurce Attribute Matrix'!K$24*0.08+'Santurce Attribute Matrix'!K$33*0.04</x:f>
        <x:v>65.68</x:v>
      </x:c>
      <x:c r="X11" s="54" t="n">
        <x:f>'Santurce Attribute Matrix'!K$24*0.5+'Santurce Attribute Matrix'!K$23*0.25+'Santurce Attribute Matrix'!K$27*0.1+'Santurce Attribute Matrix'!K$28*0.08+'Santurce Attribute Matrix'!K$33*0.07</x:f>
        <x:v>64.31</x:v>
      </x:c>
      <x:c r="Y11" s="54" t="n">
        <x:f>'Santurce Attribute Matrix'!K$25*0.28+'Santurce Attribute Matrix'!K$26*0.25+'Santurce Attribute Matrix'!K$29*0.22+'Santurce Attribute Matrix'!K$28*0.12+'Santurce Attribute Matrix'!K$27*0.13</x:f>
        <x:v>61.89</x:v>
      </x:c>
      <x:c r="Z11" s="54" t="n">
        <x:f>'Santurce Attribute Matrix'!K$6*0.24+'Santurce Attribute Matrix'!K$10*0.24+'Santurce Attribute Matrix'!K$9*0.16+'Santurce Attribute Matrix'!K$7*0.12+'Santurce Attribute Matrix'!K$11*0.12+'Santurce Attribute Matrix'!K$27*0.08+'Santurce Attribute Matrix'!K$30*0.04</x:f>
        <x:v>56.72</x:v>
      </x:c>
      <x:c r="AA11" s="54" t="n">
        <x:f>'Santurce Attribute Matrix'!K$13*0.36+'Santurce Attribute Matrix'!K$12*0.18+'Santurce Attribute Matrix'!K$16*0.16+'Santurce Attribute Matrix'!K$14*0.1+'Santurce Attribute Matrix'!K$30*0.12+'Santurce Attribute Matrix'!K$15*0.08</x:f>
        <x:v>65.08</x:v>
      </x:c>
      <x:c r="AB11" s="54" t="n">
        <x:f>'Santurce Attribute Matrix'!K$30*0.34+'Santurce Attribute Matrix'!K$31*0.24+'Santurce Attribute Matrix'!K$32*0.24+'Santurce Attribute Matrix'!K$33*0.18</x:f>
        <x:v>65.46</x:v>
      </x:c>
      <x:c r="AC11" s="54" t="n">
        <x:f>R11*0.45+N11*0.14+P11*0.13+U11*0.1+Y11*0.06+AB11*0.12</x:f>
        <x:v>61.377900000000004</x:v>
      </x:c>
      <x:c r="AD11" s="54" t="n">
        <x:f>P11*0.34+Q11*0.22+N11*0.2+R11*0.1+Y11*0.08+AB11*0.06</x:f>
        <x:v>60.6642</x:v>
      </x:c>
      <x:c r="AE11" s="54" t="n">
        <x:f>U11*0.38+R11*0.22+Y11*0.14+N11*0.12+P11*0.08+AB11*0.06</x:f>
        <x:v>62.133599999999994</x:v>
      </x:c>
      <x:c r="AF11" s="54" t="n">
        <x:f>X11*0.24+U11*0.2+Y11*0.16+R11*0.18+Q11*0.12+N11*0.1</x:f>
        <x:v>62.1218</x:v>
      </x:c>
      <x:c r="AG11" s="54" t="n">
        <x:f>O11*0.35+N11*0.24+R11*0.14+U11*0.1+Y11*0.07+AB11*0.1</x:f>
        <x:v>64.8758</x:v>
      </x:c>
      <x:c r="AH11" s="54" t="n">
        <x:f>O11*0.44+N11*0.26+P11*0.12+U11*0.07+Y11*0.04+AB11*0.05+R11*0.02</x:f>
        <x:v>65.145</x:v>
      </x:c>
      <x:c r="AI11" s="54" t="n">
        <x:f>P11*0.34+N11*0.22+Q11*0.14+O11*0.12+U11*0.08+Y11*0.06+AB11*0.04</x:f>
        <x:v>61.9902</x:v>
      </x:c>
      <x:c r="AJ11" s="54" t="n">
        <x:f>Q11*0.34+P11*0.2+Y11*0.16+U11*0.1+N11*0.1+AB11*0.06+R11*0.04</x:f>
        <x:v>60.437999999999995</x:v>
      </x:c>
      <x:c r="AK11" s="54" t="n">
        <x:f>N11*0.3+O11*0.2+U11*0.26+Y11*0.08+AB11*0.08+P11*0.05+X11*0.03</x:f>
        <x:v>64.7375</x:v>
      </x:c>
      <x:c r="AL11" s="54" t="n">
        <x:f>R11*0.26+P11*0.24+N11*0.18+Q11*0.12+U11*0.1+Y11*0.06+AB11*0.04</x:f>
        <x:v>60.917199999999994</x:v>
      </x:c>
      <x:c r="AM11" s="54" t="n">
        <x:f>X11*0.22+U11*0.18+O11*0.18+P11*0.14+Y11*0.12+N11*0.1+AB11*0.06</x:f>
        <x:v>63.7172</x:v>
      </x:c>
      <x:c r="AN11" s="54" t="n">
        <x:f>P11*0.28+N11*0.22+Q11*0.18+O11*0.12+V11*0.08+Y11*0.07+AB11*0.05</x:f>
        <x:v>62.115300000000005</x:v>
      </x:c>
      <x:c r="AO11" s="54" t="n">
        <x:f>N11*0.28+V11*0.28+O11*0.16+Y11*0.08+X11*0.07+AB11*0.08+P11*0.05</x:f>
        <x:v>64.73270000000001</x:v>
      </x:c>
      <x:c r="AP11" s="54" t="n">
        <x:f>S11*0.32+P11*0.18+N11*0.14+Q11*0.1+V11*0.1+X11*0.07+AB11*0.09</x:f>
        <x:v>61.218700000000005</x:v>
      </x:c>
      <x:c r="AQ11" s="54" t="n">
        <x:f>Q11*0.3+Y11*0.18+P11*0.18+V11*0.12+X11*0.08+N11*0.08+AB11*0.06</x:f>
        <x:v>60.9806</x:v>
      </x:c>
      <x:c r="AR11" s="54" t="n">
        <x:f>X11*0.24+V11*0.2+Y11*0.14+Q11*0.12+N11*0.12+S11*0.08+AB11*0.1</x:f>
        <x:v>62.96019999999999</x:v>
      </x:c>
      <x:c r="AS11" s="54" t="n">
        <x:f>O11*0.34+N11*0.24+V11*0.14+P11*0.1+Y11*0.07+X11*0.04+AB11*0.07</x:f>
        <x:v>64.9811</x:v>
      </x:c>
      <x:c r="AT11" s="54" t="n">
        <x:f>AA11*0.32+N11*0.18+X11*0.13+W11*0.13+T11*0.08+Y11*0.06+AB11*0.1</x:f>
        <x:v>64.73610000000001</x:v>
      </x:c>
      <x:c r="AU11" s="54" t="n">
        <x:f>Z11*0.3+X11*0.2+W11*0.16+Q11*0.12+Y11*0.08+T11*0.06+AB11*0.08</x:f>
        <x:v>61.0856</x:v>
      </x:c>
      <x:c r="AV11" s="54" t="n">
        <x:f>W11*0.3+X11*0.28+Y11*0.1+Z11*0.1+T11*0.07+AA11*0.06+AB11*0.09</x:f>
        <x:v>63.55260000000001</x:v>
      </x:c>
      <x:c r="AW11" s="54" t="n">
        <x:f>T11*0.28+AA11*0.16+Z11*0.14+X11*0.14+W11*0.12+AB11*0.1+Y11*0.06</x:f>
        <x:v>62.2364</x:v>
      </x:c>
      <x:c r="AX11" s="54" t="n">
        <x:f>Q11*0.24+Z11*0.24+Y11*0.16+X11*0.14+W11*0.12+AB11*0.06+T11*0.04</x:f>
        <x:v>60.56699999999999</x:v>
      </x:c>
      <x:c r="AY11" s="54" t="n">
        <x:f>V11*0.22+AA11*0.2+Y11*0.14+X11*0.14+T11*0.12+Q11*0.08+AB11*0.1</x:f>
        <x:v>62.9808</x:v>
      </x:c>
      <x:c r="AZ11" s="54" t="n">
        <x:f>W11*0.36+X11*0.22+Y11*0.1+Z11*0.12+T11*0.06+AB11*0.1+AA11*0.04</x:f>
        <x:v>63.52439999999999</x:v>
      </x:c>
      <x:c r="BA11" s="54" t="n">
        <x:f>X11*0.34+W11*0.24+Z11*0.14+Y11*0.1+AB11*0.08+T11*0.06+AA11*0.04</x:f>
        <x:v>63.18520000000001</x:v>
      </x:c>
      <x:c r="BB11" s="54" t="n">
        <x:f>Z11*0.34+X11*0.18+W11*0.16+T11*0.1+AB11*0.08+Y11*0.08+AA11*0.06</x:f>
        <x:v>61.440200000000004</x:v>
      </x:c>
      <x:c r="BC11" s="54" t="n">
        <x:f>AA11*0.3+N11*0.18+W11*0.16+X11*0.14+T11*0.08+Y11*0.05+AB11*0.09</x:f>
        <x:v>64.7745</x:v>
      </x:c>
      <x:c r="BD11" s="54" t="n">
        <x:f>T11*0.3+Z11*0.18+X11*0.16+W11*0.16+AA11*0.08+AB11*0.08+Y11*0.04</x:f>
        <x:v>61.860800000000005</x:v>
      </x:c>
      <x:c r="BE11" s="54" t="n">
        <x:f>Q11*0.24+Z11*0.24+Y11*0.16+X11*0.16+W11*0.12+AB11*0.06+T11*0.02</x:f>
        <x:v>60.657599999999995</x:v>
      </x:c>
      <x:c r="BF11" s="55" t="n">
        <x:f>W11*0.24+V11*0.2+Y11*0.16+X11*0.16+Q11*0.08+T11*0.08+AB11*0.08</x:f>
        <x:v>63.28240000000001</x:v>
      </x:c>
    </x:row>
    <x:row r="12">
      <x:c r="A12" s="53" t="str">
        <x:f>'Santurce Attribute Matrix'!L$1</x:f>
        <x:v>Xavier Zambrana</x:v>
      </x:c>
      <x:c r="B12" s="54" t="str">
        <x:f>'Santurce Attribute Matrix'!L$2</x:f>
        <x:v>PF</x:v>
      </x:c>
      <x:c r="C12" s="54" t="n">
        <x:f>'Santurce Attribute Matrix'!L$5</x:f>
        <x:v>57</x:v>
      </x:c>
      <x:c r="D12" s="54" t="n">
        <x:f>IF(B12="PG",'Santurce Attribute Matrix'!L$18*0.12+'Santurce Attribute Matrix'!L$17*0.115+'Santurce Attribute Matrix'!L$30*0.075+'Santurce Attribute Matrix'!L$15*0.07+'Santurce Attribute Matrix'!L$25*0.065+'Santurce Attribute Matrix'!L$13*0.065+'Santurce Attribute Matrix'!L$7*0.055+'Santurce Attribute Matrix'!L$26*0.055+'Santurce Attribute Matrix'!L$20*0.055+'Santurce Attribute Matrix'!L$21*0.04+'Santurce Attribute Matrix'!L$11*0.04+'Santurce Attribute Matrix'!L$14*0.03+'Santurce Attribute Matrix'!L$12*0.03+'Santurce Attribute Matrix'!L$31*0.03+'Santurce Attribute Matrix'!L$32*0.028+'Santurce Attribute Matrix'!L$29*0.025+'Santurce Attribute Matrix'!L$6*0.015+'Santurce Attribute Matrix'!L$16*0.015+'Santurce Attribute Matrix'!L$33*0.015+'Santurce Attribute Matrix'!L$24*0.012+'Santurce Attribute Matrix'!L$27*0.012+'Santurce Attribute Matrix'!L$28*0.008+'Santurce Attribute Matrix'!L$19*0.008+'Santurce Attribute Matrix'!L$23*0.005+'Santurce Attribute Matrix'!L$8*0.005+'Santurce Attribute Matrix'!L$22*0.003+'Santurce Attribute Matrix'!L$10*0.002+'Santurce Attribute Matrix'!L$9*0.002,IF(B12="SG",'Santurce Attribute Matrix'!L$13*0.11+'Santurce Attribute Matrix'!L$15*0.09+'Santurce Attribute Matrix'!L$7*0.07+'Santurce Attribute Matrix'!L$12*0.065+'Santurce Attribute Matrix'!L$16*0.06+'Santurce Attribute Matrix'!L$20*0.06+'Santurce Attribute Matrix'!L$18*0.06+'Santurce Attribute Matrix'!L$30*0.05+'Santurce Attribute Matrix'!L$11*0.05+'Santurce Attribute Matrix'!L$17*0.045+'Santurce Attribute Matrix'!L$14*0.04+'Santurce Attribute Matrix'!L$25*0.04+'Santurce Attribute Matrix'!L$21*0.035+'Santurce Attribute Matrix'!L$26*0.035+'Santurce Attribute Matrix'!L$32*0.035+'Santurce Attribute Matrix'!L$31*0.025+'Santurce Attribute Matrix'!L$29*0.02+'Santurce Attribute Matrix'!L$33*0.02+'Santurce Attribute Matrix'!L$6*0.015+'Santurce Attribute Matrix'!L$27*0.015+'Santurce Attribute Matrix'!L$28*0.015+'Santurce Attribute Matrix'!L$24*0.015+'Santurce Attribute Matrix'!L$19*0.01+'Santurce Attribute Matrix'!L$23*0.005+'Santurce Attribute Matrix'!L$8*0.005+'Santurce Attribute Matrix'!L$22*0.005+'Santurce Attribute Matrix'!L$10*0.003+'Santurce Attribute Matrix'!L$9*0.002,IF(B12="SF",'Santurce Attribute Matrix'!L$20*0.075+'Santurce Attribute Matrix'!L$13*0.075+'Santurce Attribute Matrix'!L$7*0.055+'Santurce Attribute Matrix'!L$15*0.055+'Santurce Attribute Matrix'!L$16*0.055+'Santurce Attribute Matrix'!L$30*0.05+'Santurce Attribute Matrix'!L$31*0.05+'Santurce Attribute Matrix'!L$12*0.05+'Santurce Attribute Matrix'!L$27*0.045+'Santurce Attribute Matrix'!L$25*0.045+'Santurce Attribute Matrix'!L$26*0.04+'Santurce Attribute Matrix'!L$18*0.04+'Santurce Attribute Matrix'!L$24*0.04+'Santurce Attribute Matrix'!L$11*0.04+'Santurce Attribute Matrix'!L$21*0.035+'Santurce Attribute Matrix'!L$14*0.03+'Santurce Attribute Matrix'!L$28*0.025+'Santurce Attribute Matrix'!L$17*0.025+'Santurce Attribute Matrix'!L$29*0.025+'Santurce Attribute Matrix'!L$32*0.025+'Santurce Attribute Matrix'!L$33*0.025+'Santurce Attribute Matrix'!L$6*0.02+'Santurce Attribute Matrix'!L$19*0.02+'Santurce Attribute Matrix'!L$23*0.015+'Santurce Attribute Matrix'!L$8*0.015+'Santurce Attribute Matrix'!L$22*0.01+'Santurce Attribute Matrix'!L$10*0.008+'Santurce Attribute Matrix'!L$9*0.007,IF(B12="PF",'Santurce Attribute Matrix'!L$19*0.08+'Santurce Attribute Matrix'!L$24*0.075+'Santurce Attribute Matrix'!L$6*0.07+'Santurce Attribute Matrix'!L$27*0.065+'Santurce Attribute Matrix'!L$23*0.06+'Santurce Attribute Matrix'!L$10*0.045+'Santurce Attribute Matrix'!L$31*0.045+'Santurce Attribute Matrix'!L$12*0.045+'Santurce Attribute Matrix'!L$9*0.04+'Santurce Attribute Matrix'!L$11*0.04+'Santurce Attribute Matrix'!L$22*0.04+'Santurce Attribute Matrix'!L$30*0.04+'Santurce Attribute Matrix'!L$33*0.04+'Santurce Attribute Matrix'!L$13*0.04+'Santurce Attribute Matrix'!L$7*0.04+'Santurce Attribute Matrix'!L$28*0.035+'Santurce Attribute Matrix'!L$20*0.03+'Santurce Attribute Matrix'!L$29*0.025+'Santurce Attribute Matrix'!L$14*0.02+'Santurce Attribute Matrix'!L$25*0.02+'Santurce Attribute Matrix'!L$26*0.015+'Santurce Attribute Matrix'!L$17*0.015+'Santurce Attribute Matrix'!L$16*0.015+'Santurce Attribute Matrix'!L$32*0.015+'Santurce Attribute Matrix'!L$8*0.015+'Santurce Attribute Matrix'!L$18*0.01+'Santurce Attribute Matrix'!L$21*0.01+'Santurce Attribute Matrix'!L$15*0.01,'Santurce Attribute Matrix'!L$19*0.11+'Santurce Attribute Matrix'!L$24*0.1+'Santurce Attribute Matrix'!L$6*0.08+'Santurce Attribute Matrix'!L$27*0.075+'Santurce Attribute Matrix'!L$22*0.075+'Santurce Attribute Matrix'!L$23*0.065+'Santurce Attribute Matrix'!L$9*0.055+'Santurce Attribute Matrix'!L$31*0.055+'Santurce Attribute Matrix'!L$10*0.05+'Santurce Attribute Matrix'!L$11*0.045+'Santurce Attribute Matrix'!L$30*0.035+'Santurce Attribute Matrix'!L$28*0.035+'Santurce Attribute Matrix'!L$33*0.035+'Santurce Attribute Matrix'!L$14*0.02+'Santurce Attribute Matrix'!L$29*0.02+'Santurce Attribute Matrix'!L$12*0.02+'Santurce Attribute Matrix'!L$20*0.015+'Santurce Attribute Matrix'!L$13*0.015+'Santurce Attribute Matrix'!L$17*0.015+'Santurce Attribute Matrix'!L$25*0.015+'Santurce Attribute Matrix'!L$26*0.01+'Santurce Attribute Matrix'!L$16*0.01+'Santurce Attribute Matrix'!L$7*0.01+'Santurce Attribute Matrix'!L$8*0.01+'Santurce Attribute Matrix'!L$32*0.01+'Santurce Attribute Matrix'!L$18*0.005+'Santurce Attribute Matrix'!L$21*0.005+'Santurce Attribute Matrix'!L$15*0.005))))</x:f>
        <x:v>56.51</x:v>
      </x:c>
      <x:c r="E12" s="54" t="str">
        <x:f>IF(B12="PG",INDEX($AC$1:$AG$1,1,MATCH(F12,AC12:AG12,0)),IF(B12="SG",INDEX($AH$1:$AM$1,1,MATCH(F12,AH12:AM12,0)),IF(B12="SF",INDEX($AN$1:$AS$1,1,MATCH(F12,AN12:AS12,0)),IF(B12="PF",INDEX($AT$1:$AY$1,1,MATCH(F12,AT12:AY12,0)),INDEX($AZ$1:$BF$1,1,MATCH(F12,AZ12:BF12,0))))))</x:f>
        <x:v>defensiveRebounderPF</x:v>
      </x:c>
      <x:c r="F12" s="54" t="n">
        <x:f>IF(B12="PG",MAX(AC12:AG12),IF(B12="SG",MAX(AH12:AM12),IF(B12="SF",MAX(AN12:AS12),IF(B12="PF",MAX(AT12:AY12),MAX(AZ12:BF12)))))</x:f>
        <x:v>58.6956</x:v>
      </x:c>
      <x:c r="G12" s="54" t="n">
        <x:f>D12*0.70</x:f>
        <x:v>39.556999999999995</x:v>
      </x:c>
      <x:c r="H12" s="54" t="n">
        <x:f>F12*0.30</x:f>
        <x:v>17.60868</x:v>
      </x:c>
      <x:c r="I12" s="54" t="n">
        <x:f>G12+H12</x:f>
        <x:v>57.165679999999995</x:v>
      </x:c>
      <x:c r="J12" s="54" t="n">
        <x:f>MIN(D12+6,MAX(D12-2,I12))</x:f>
        <x:v>57.165679999999995</x:v>
      </x:c>
      <x:c r="K12" s="54" t="n">
        <x:f>ROUND(MAX(25,MIN(99,J12)),0)</x:f>
        <x:v>57</x:v>
      </x:c>
      <x:c r="L12" s="54" t="n">
        <x:f>K12-C12</x:f>
        <x:v>0</x:v>
      </x:c>
      <x:c r="M12" s="54" t="str">
        <x:f>IF(ABS(L12)&lt;=1,"On target",IF(L12&lt;-3,"Below target - review archetype/attributes/caps",IF(L12&gt;3,"Above target - review attributes/weights","Close")))</x:f>
        <x:v>On target</x:v>
      </x:c>
      <x:c r="N12" s="54" t="n">
        <x:f>'Santurce Attribute Matrix'!L$13*0.42+'Santurce Attribute Matrix'!L$12*0.18+'Santurce Attribute Matrix'!L$14*0.08+'Santurce Attribute Matrix'!L$16*0.22+'Santurce Attribute Matrix'!L$30*0.1</x:f>
        <x:v>50.96</x:v>
      </x:c>
      <x:c r="O12" s="54" t="n">
        <x:f>'Santurce Attribute Matrix'!L$13*0.35+'Santurce Attribute Matrix'!L$16*0.35+'Santurce Attribute Matrix'!L$29*0.12+'Santurce Attribute Matrix'!L$30*0.1+'Santurce Attribute Matrix'!L$12*0.08</x:f>
        <x:v>53.61</x:v>
      </x:c>
      <x:c r="P12" s="54" t="n">
        <x:f>'Santurce Attribute Matrix'!L$15*0.35+'Santurce Attribute Matrix'!L$18*0.22+'Santurce Attribute Matrix'!L$12*0.18+'Santurce Attribute Matrix'!L$13*0.1+'Santurce Attribute Matrix'!L$7*0.08+'Santurce Attribute Matrix'!L$11*0.07</x:f>
        <x:v>51.19</x:v>
      </x:c>
      <x:c r="Q12" s="54" t="n">
        <x:f>'Santurce Attribute Matrix'!L$7*0.34+'Santurce Attribute Matrix'!L$11*0.22+'Santurce Attribute Matrix'!L$25*0.15+'Santurce Attribute Matrix'!L$26*0.12+'Santurce Attribute Matrix'!L$6*0.1+'Santurce Attribute Matrix'!L$8*0.07</x:f>
        <x:v>54.3</x:v>
      </x:c>
      <x:c r="R12" s="54" t="n">
        <x:f>'Santurce Attribute Matrix'!L$17*0.45+'Santurce Attribute Matrix'!L$18*0.25+'Santurce Attribute Matrix'!L$30*0.25+'Santurce Attribute Matrix'!L$15*0.05</x:f>
        <x:v>57.1</x:v>
      </x:c>
      <x:c r="S12" s="54" t="n">
        <x:f>'Santurce Attribute Matrix'!L$17*0.38+'Santurce Attribute Matrix'!L$18*0.27+'Santurce Attribute Matrix'!L$30*0.25+'Santurce Attribute Matrix'!L$15*0.1</x:f>
        <x:v>56.58</x:v>
      </x:c>
      <x:c r="T12" s="54" t="n">
        <x:f>'Santurce Attribute Matrix'!L$17*0.42+'Santurce Attribute Matrix'!L$30*0.32+'Santurce Attribute Matrix'!L$10*0.16+'Santurce Attribute Matrix'!L$18*0.1</x:f>
        <x:v>58.040000000000006</x:v>
      </x:c>
      <x:c r="U12" s="54" t="n">
        <x:f>'Santurce Attribute Matrix'!L$20*0.44+'Santurce Attribute Matrix'!L$31*0.24+'Santurce Attribute Matrix'!L$21*0.14+'Santurce Attribute Matrix'!L$25*0.06+'Santurce Attribute Matrix'!L$27*0.06+'Santurce Attribute Matrix'!L$33*0.06</x:f>
        <x:v>59.27999999999999</x:v>
      </x:c>
      <x:c r="V12" s="54" t="n">
        <x:f>'Santurce Attribute Matrix'!L$20*0.32+'Santurce Attribute Matrix'!L$31*0.24+'Santurce Attribute Matrix'!L$27*0.13+'Santurce Attribute Matrix'!L$21*0.12+'Santurce Attribute Matrix'!L$22*0.08+'Santurce Attribute Matrix'!L$25*0.06+'Santurce Attribute Matrix'!L$33*0.05</x:f>
        <x:v>59.28</x:v>
      </x:c>
      <x:c r="W12" s="54" t="n">
        <x:f>'Santurce Attribute Matrix'!L$19*0.34+'Santurce Attribute Matrix'!L$31*0.24+'Santurce Attribute Matrix'!L$22*0.2+'Santurce Attribute Matrix'!L$27*0.1+'Santurce Attribute Matrix'!L$24*0.08+'Santurce Attribute Matrix'!L$33*0.04</x:f>
        <x:v>60.08</x:v>
      </x:c>
      <x:c r="X12" s="54" t="n">
        <x:f>'Santurce Attribute Matrix'!L$24*0.5+'Santurce Attribute Matrix'!L$23*0.25+'Santurce Attribute Matrix'!L$27*0.1+'Santurce Attribute Matrix'!L$28*0.08+'Santurce Attribute Matrix'!L$33*0.07</x:f>
        <x:v>59.98</x:v>
      </x:c>
      <x:c r="Y12" s="54" t="n">
        <x:f>'Santurce Attribute Matrix'!L$25*0.28+'Santurce Attribute Matrix'!L$26*0.25+'Santurce Attribute Matrix'!L$29*0.22+'Santurce Attribute Matrix'!L$28*0.12+'Santurce Attribute Matrix'!L$27*0.13</x:f>
        <x:v>57.8</x:v>
      </x:c>
      <x:c r="Z12" s="54" t="n">
        <x:f>'Santurce Attribute Matrix'!L$6*0.24+'Santurce Attribute Matrix'!L$10*0.24+'Santurce Attribute Matrix'!L$9*0.16+'Santurce Attribute Matrix'!L$7*0.12+'Santurce Attribute Matrix'!L$11*0.12+'Santurce Attribute Matrix'!L$27*0.08+'Santurce Attribute Matrix'!L$30*0.04</x:f>
        <x:v>54.16</x:v>
      </x:c>
      <x:c r="AA12" s="54" t="n">
        <x:f>'Santurce Attribute Matrix'!L$13*0.36+'Santurce Attribute Matrix'!L$12*0.18+'Santurce Attribute Matrix'!L$16*0.16+'Santurce Attribute Matrix'!L$14*0.1+'Santurce Attribute Matrix'!L$30*0.12+'Santurce Attribute Matrix'!L$15*0.08</x:f>
        <x:v>50.82</x:v>
      </x:c>
      <x:c r="AB12" s="54" t="n">
        <x:f>'Santurce Attribute Matrix'!L$30*0.34+'Santurce Attribute Matrix'!L$31*0.24+'Santurce Attribute Matrix'!L$32*0.24+'Santurce Attribute Matrix'!L$33*0.18</x:f>
        <x:v>61.88</x:v>
      </x:c>
      <x:c r="AC12" s="54" t="n">
        <x:f>R12*0.45+N12*0.14+P12*0.13+U12*0.1+Y12*0.06+AB12*0.12</x:f>
        <x:v>56.305699999999995</x:v>
      </x:c>
      <x:c r="AD12" s="54" t="n">
        <x:f>P12*0.34+Q12*0.22+N12*0.2+R12*0.1+Y12*0.08+AB12*0.06</x:f>
        <x:v>53.589400000000005</x:v>
      </x:c>
      <x:c r="AE12" s="54" t="n">
        <x:f>U12*0.38+R12*0.22+Y12*0.14+N12*0.12+P12*0.08+AB12*0.06</x:f>
        <x:v>57.10359999999999</x:v>
      </x:c>
      <x:c r="AF12" s="54" t="n">
        <x:f>X12*0.24+U12*0.2+Y12*0.16+R12*0.18+Q12*0.12+N12*0.1</x:f>
        <x:v>57.38919999999999</x:v>
      </x:c>
      <x:c r="AG12" s="54" t="n">
        <x:f>O12*0.35+N12*0.24+R12*0.14+U12*0.1+Y12*0.07+AB12*0.1</x:f>
        <x:v>55.149899999999995</x:v>
      </x:c>
      <x:c r="AH12" s="54" t="n">
        <x:f>O12*0.44+N12*0.26+P12*0.12+U12*0.07+Y12*0.04+AB12*0.05+R12*0.02</x:f>
        <x:v>53.6784</x:v>
      </x:c>
      <x:c r="AI12" s="54" t="n">
        <x:f>P12*0.34+N12*0.22+Q12*0.14+O12*0.12+U12*0.08+Y12*0.06+AB12*0.04</x:f>
        <x:v>53.33659999999999</x:v>
      </x:c>
      <x:c r="AJ12" s="54" t="n">
        <x:f>Q12*0.34+P12*0.2+Y12*0.16+U12*0.1+N12*0.1+AB12*0.06+R12*0.04</x:f>
        <x:v>54.968799999999995</x:v>
      </x:c>
      <x:c r="AK12" s="54" t="n">
        <x:f>N12*0.3+O12*0.2+U12*0.26+Y12*0.08+AB12*0.08+P12*0.05+X12*0.03</x:f>
        <x:v>55.3561</x:v>
      </x:c>
      <x:c r="AL12" s="54" t="n">
        <x:f>R12*0.26+P12*0.24+N12*0.18+Q12*0.12+U12*0.1+Y12*0.06+AB12*0.04</x:f>
        <x:v>54.691599999999994</x:v>
      </x:c>
      <x:c r="AM12" s="54" t="n">
        <x:f>X12*0.22+U12*0.18+O12*0.18+P12*0.14+Y12*0.12+N12*0.1+AB12*0.06</x:f>
        <x:v>56.4272</x:v>
      </x:c>
      <x:c r="AN12" s="54" t="n">
        <x:f>P12*0.28+N12*0.22+Q12*0.18+O12*0.12+V12*0.08+Y12*0.07+AB12*0.05</x:f>
        <x:v>53.634</x:v>
      </x:c>
      <x:c r="AO12" s="54" t="n">
        <x:f>N12*0.28+V12*0.28+O12*0.16+Y12*0.08+X12*0.07+AB12*0.08+P12*0.05</x:f>
        <x:v>55.777300000000004</x:v>
      </x:c>
      <x:c r="AP12" s="54" t="n">
        <x:f>S12*0.32+P12*0.18+N12*0.14+Q12*0.1+V12*0.1+X12*0.07+AB12*0.09</x:f>
        <x:v>55.580000000000005</x:v>
      </x:c>
      <x:c r="AQ12" s="54" t="n">
        <x:f>Q12*0.3+Y12*0.18+P12*0.18+V12*0.12+X12*0.08+N12*0.08+AB12*0.06</x:f>
        <x:v>55.6098</x:v>
      </x:c>
      <x:c r="AR12" s="54" t="n">
        <x:f>X12*0.24+V12*0.2+Y12*0.14+Q12*0.12+N12*0.12+S12*0.08+AB12*0.1</x:f>
        <x:v>57.68880000000001</x:v>
      </x:c>
      <x:c r="AS12" s="54" t="n">
        <x:f>O12*0.34+N12*0.24+V12*0.14+P12*0.1+Y12*0.07+X12*0.04+AB12*0.07</x:f>
        <x:v>54.6528</x:v>
      </x:c>
      <x:c r="AT12" s="54" t="n">
        <x:f>AA12*0.32+N12*0.18+X12*0.13+W12*0.13+T12*0.08+Y12*0.06+AB12*0.1</x:f>
        <x:v>55.342200000000005</x:v>
      </x:c>
      <x:c r="AU12" s="54" t="n">
        <x:f>Z12*0.3+X12*0.2+W12*0.16+Q12*0.12+Y12*0.08+T12*0.06+AB12*0.08</x:f>
        <x:v>57.4296</x:v>
      </x:c>
      <x:c r="AV12" s="54" t="n">
        <x:f>W12*0.3+X12*0.28+Y12*0.1+Z12*0.1+T12*0.07+AA12*0.06+AB12*0.09</x:f>
        <x:v>58.6956</x:v>
      </x:c>
      <x:c r="AW12" s="54" t="n">
        <x:f>T12*0.28+AA12*0.16+Z12*0.14+X12*0.14+W12*0.12+AB12*0.1+Y12*0.06</x:f>
        <x:v>57.2276</x:v>
      </x:c>
      <x:c r="AX12" s="54" t="n">
        <x:f>Q12*0.24+Z12*0.24+Y12*0.16+X12*0.14+W12*0.12+AB12*0.06+T12*0.04</x:f>
        <x:v>56.9196</x:v>
      </x:c>
      <x:c r="AY12" s="54" t="n">
        <x:f>V12*0.22+AA12*0.2+Y12*0.14+X12*0.14+T12*0.12+Q12*0.08+AB12*0.1</x:f>
        <x:v>57.1916</x:v>
      </x:c>
      <x:c r="AZ12" s="54" t="n">
        <x:f>W12*0.36+X12*0.22+Y12*0.1+Z12*0.12+T12*0.06+AB12*0.1+AA12*0.04</x:f>
        <x:v>58.8068</x:v>
      </x:c>
      <x:c r="BA12" s="54" t="n">
        <x:f>X12*0.34+W12*0.24+Z12*0.14+Y12*0.1+AB12*0.08+T12*0.06+AA12*0.04</x:f>
        <x:v>58.6404</x:v>
      </x:c>
      <x:c r="BB12" s="54" t="n">
        <x:f>Z12*0.34+X12*0.18+W12*0.16+T12*0.1+AB12*0.08+Y12*0.08+AA12*0.06</x:f>
        <x:v>57.251200000000004</x:v>
      </x:c>
      <x:c r="BC12" s="54" t="n">
        <x:f>AA12*0.3+N12*0.18+W12*0.16+X12*0.14+T12*0.08+Y12*0.05+AB12*0.09</x:f>
        <x:v>55.5312</x:v>
      </x:c>
      <x:c r="BD12" s="54" t="n">
        <x:f>T12*0.3+Z12*0.18+X12*0.16+W12*0.16+AA12*0.08+AB12*0.08+Y12*0.04</x:f>
        <x:v>57.69840000000001</x:v>
      </x:c>
      <x:c r="BE12" s="54" t="n">
        <x:f>Q12*0.24+Z12*0.24+Y12*0.16+X12*0.16+W12*0.12+AB12*0.06+T12*0.02</x:f>
        <x:v>56.958400000000005</x:v>
      </x:c>
      <x:c r="BF12" s="55" t="n">
        <x:f>W12*0.24+V12*0.2+Y12*0.16+X12*0.16+Q12*0.08+T12*0.08+AB12*0.08</x:f>
        <x:v>59.0576</x:v>
      </x:c>
    </x:row>
    <x:row r="13">
      <x:c r="A13" s="53" t="str">
        <x:f>'Santurce Attribute Matrix'!M$1</x:f>
        <x:v>Devon Collier</x:v>
      </x:c>
      <x:c r="B13" s="54" t="str">
        <x:f>'Santurce Attribute Matrix'!M$2</x:f>
        <x:v>PF</x:v>
      </x:c>
      <x:c r="C13" s="54" t="n">
        <x:f>'Santurce Attribute Matrix'!M$5</x:f>
        <x:v>78</x:v>
      </x:c>
      <x:c r="D13" s="54" t="n">
        <x:f>IF(B13="PG",'Santurce Attribute Matrix'!M$18*0.12+'Santurce Attribute Matrix'!M$17*0.115+'Santurce Attribute Matrix'!M$30*0.075+'Santurce Attribute Matrix'!M$15*0.07+'Santurce Attribute Matrix'!M$25*0.065+'Santurce Attribute Matrix'!M$13*0.065+'Santurce Attribute Matrix'!M$7*0.055+'Santurce Attribute Matrix'!M$26*0.055+'Santurce Attribute Matrix'!M$20*0.055+'Santurce Attribute Matrix'!M$21*0.04+'Santurce Attribute Matrix'!M$11*0.04+'Santurce Attribute Matrix'!M$14*0.03+'Santurce Attribute Matrix'!M$12*0.03+'Santurce Attribute Matrix'!M$31*0.03+'Santurce Attribute Matrix'!M$32*0.028+'Santurce Attribute Matrix'!M$29*0.025+'Santurce Attribute Matrix'!M$6*0.015+'Santurce Attribute Matrix'!M$16*0.015+'Santurce Attribute Matrix'!M$33*0.015+'Santurce Attribute Matrix'!M$24*0.012+'Santurce Attribute Matrix'!M$27*0.012+'Santurce Attribute Matrix'!M$28*0.008+'Santurce Attribute Matrix'!M$19*0.008+'Santurce Attribute Matrix'!M$23*0.005+'Santurce Attribute Matrix'!M$8*0.005+'Santurce Attribute Matrix'!M$22*0.003+'Santurce Attribute Matrix'!M$10*0.002+'Santurce Attribute Matrix'!M$9*0.002,IF(B13="SG",'Santurce Attribute Matrix'!M$13*0.11+'Santurce Attribute Matrix'!M$15*0.09+'Santurce Attribute Matrix'!M$7*0.07+'Santurce Attribute Matrix'!M$12*0.065+'Santurce Attribute Matrix'!M$16*0.06+'Santurce Attribute Matrix'!M$20*0.06+'Santurce Attribute Matrix'!M$18*0.06+'Santurce Attribute Matrix'!M$30*0.05+'Santurce Attribute Matrix'!M$11*0.05+'Santurce Attribute Matrix'!M$17*0.045+'Santurce Attribute Matrix'!M$14*0.04+'Santurce Attribute Matrix'!M$25*0.04+'Santurce Attribute Matrix'!M$21*0.035+'Santurce Attribute Matrix'!M$26*0.035+'Santurce Attribute Matrix'!M$32*0.035+'Santurce Attribute Matrix'!M$31*0.025+'Santurce Attribute Matrix'!M$29*0.02+'Santurce Attribute Matrix'!M$33*0.02+'Santurce Attribute Matrix'!M$6*0.015+'Santurce Attribute Matrix'!M$27*0.015+'Santurce Attribute Matrix'!M$28*0.015+'Santurce Attribute Matrix'!M$24*0.015+'Santurce Attribute Matrix'!M$19*0.01+'Santurce Attribute Matrix'!M$23*0.005+'Santurce Attribute Matrix'!M$8*0.005+'Santurce Attribute Matrix'!M$22*0.005+'Santurce Attribute Matrix'!M$10*0.003+'Santurce Attribute Matrix'!M$9*0.002,IF(B13="SF",'Santurce Attribute Matrix'!M$20*0.075+'Santurce Attribute Matrix'!M$13*0.075+'Santurce Attribute Matrix'!M$7*0.055+'Santurce Attribute Matrix'!M$15*0.055+'Santurce Attribute Matrix'!M$16*0.055+'Santurce Attribute Matrix'!M$30*0.05+'Santurce Attribute Matrix'!M$31*0.05+'Santurce Attribute Matrix'!M$12*0.05+'Santurce Attribute Matrix'!M$27*0.045+'Santurce Attribute Matrix'!M$25*0.045+'Santurce Attribute Matrix'!M$26*0.04+'Santurce Attribute Matrix'!M$18*0.04+'Santurce Attribute Matrix'!M$24*0.04+'Santurce Attribute Matrix'!M$11*0.04+'Santurce Attribute Matrix'!M$21*0.035+'Santurce Attribute Matrix'!M$14*0.03+'Santurce Attribute Matrix'!M$28*0.025+'Santurce Attribute Matrix'!M$17*0.025+'Santurce Attribute Matrix'!M$29*0.025+'Santurce Attribute Matrix'!M$32*0.025+'Santurce Attribute Matrix'!M$33*0.025+'Santurce Attribute Matrix'!M$6*0.02+'Santurce Attribute Matrix'!M$19*0.02+'Santurce Attribute Matrix'!M$23*0.015+'Santurce Attribute Matrix'!M$8*0.015+'Santurce Attribute Matrix'!M$22*0.01+'Santurce Attribute Matrix'!M$10*0.008+'Santurce Attribute Matrix'!M$9*0.007,IF(B13="PF",'Santurce Attribute Matrix'!M$19*0.08+'Santurce Attribute Matrix'!M$24*0.075+'Santurce Attribute Matrix'!M$6*0.07+'Santurce Attribute Matrix'!M$27*0.065+'Santurce Attribute Matrix'!M$23*0.06+'Santurce Attribute Matrix'!M$10*0.045+'Santurce Attribute Matrix'!M$31*0.045+'Santurce Attribute Matrix'!M$12*0.045+'Santurce Attribute Matrix'!M$9*0.04+'Santurce Attribute Matrix'!M$11*0.04+'Santurce Attribute Matrix'!M$22*0.04+'Santurce Attribute Matrix'!M$30*0.04+'Santurce Attribute Matrix'!M$33*0.04+'Santurce Attribute Matrix'!M$13*0.04+'Santurce Attribute Matrix'!M$7*0.04+'Santurce Attribute Matrix'!M$28*0.035+'Santurce Attribute Matrix'!M$20*0.03+'Santurce Attribute Matrix'!M$29*0.025+'Santurce Attribute Matrix'!M$14*0.02+'Santurce Attribute Matrix'!M$25*0.02+'Santurce Attribute Matrix'!M$26*0.015+'Santurce Attribute Matrix'!M$17*0.015+'Santurce Attribute Matrix'!M$16*0.015+'Santurce Attribute Matrix'!M$32*0.015+'Santurce Attribute Matrix'!M$8*0.015+'Santurce Attribute Matrix'!M$18*0.01+'Santurce Attribute Matrix'!M$21*0.01+'Santurce Attribute Matrix'!M$15*0.01,'Santurce Attribute Matrix'!M$19*0.11+'Santurce Attribute Matrix'!M$24*0.1+'Santurce Attribute Matrix'!M$6*0.08+'Santurce Attribute Matrix'!M$27*0.075+'Santurce Attribute Matrix'!M$22*0.075+'Santurce Attribute Matrix'!M$23*0.065+'Santurce Attribute Matrix'!M$9*0.055+'Santurce Attribute Matrix'!M$31*0.055+'Santurce Attribute Matrix'!M$10*0.05+'Santurce Attribute Matrix'!M$11*0.045+'Santurce Attribute Matrix'!M$30*0.035+'Santurce Attribute Matrix'!M$28*0.035+'Santurce Attribute Matrix'!M$33*0.035+'Santurce Attribute Matrix'!M$14*0.02+'Santurce Attribute Matrix'!M$29*0.02+'Santurce Attribute Matrix'!M$12*0.02+'Santurce Attribute Matrix'!M$20*0.015+'Santurce Attribute Matrix'!M$13*0.015+'Santurce Attribute Matrix'!M$17*0.015+'Santurce Attribute Matrix'!M$25*0.015+'Santurce Attribute Matrix'!M$26*0.01+'Santurce Attribute Matrix'!M$16*0.01+'Santurce Attribute Matrix'!M$7*0.01+'Santurce Attribute Matrix'!M$8*0.01+'Santurce Attribute Matrix'!M$32*0.01+'Santurce Attribute Matrix'!M$18*0.005+'Santurce Attribute Matrix'!M$21*0.005+'Santurce Attribute Matrix'!M$15*0.005))))</x:f>
        <x:v>77.56500000000001</x:v>
      </x:c>
      <x:c r="E13" s="54" t="str">
        <x:f>IF(B13="PG",INDEX($AC$1:$AG$1,1,MATCH(F13,AC13:AG13,0)),IF(B13="SG",INDEX($AH$1:$AM$1,1,MATCH(F13,AH13:AM13,0)),IF(B13="SF",INDEX($AN$1:$AS$1,1,MATCH(F13,AN13:AS13,0)),IF(B13="PF",INDEX($AT$1:$AY$1,1,MATCH(F13,AT13:AY13,0)),INDEX($AZ$1:$BF$1,1,MATCH(F13,AZ13:BF13,0))))))</x:f>
        <x:v>interiorPF</x:v>
      </x:c>
      <x:c r="F13" s="54" t="n">
        <x:f>IF(B13="PG",MAX(AC13:AG13),IF(B13="SG",MAX(AH13:AM13),IF(B13="SF",MAX(AN13:AS13),IF(B13="PF",MAX(AT13:AY13),MAX(AZ13:BF13)))))</x:f>
        <x:v>81.734</x:v>
      </x:c>
      <x:c r="G13" s="54" t="n">
        <x:f>D13*0.70</x:f>
        <x:v>54.295500000000004</x:v>
      </x:c>
      <x:c r="H13" s="54" t="n">
        <x:f>F13*0.30</x:f>
        <x:v>24.5202</x:v>
      </x:c>
      <x:c r="I13" s="54" t="n">
        <x:f>G13+H13</x:f>
        <x:v>78.8157</x:v>
      </x:c>
      <x:c r="J13" s="54" t="n">
        <x:f>MIN(D13+6,MAX(D13-2,I13))</x:f>
        <x:v>78.8157</x:v>
      </x:c>
      <x:c r="K13" s="54" t="n">
        <x:f>ROUND(MAX(25,MIN(99,J13)),0)</x:f>
        <x:v>79</x:v>
      </x:c>
      <x:c r="L13" s="54" t="n">
        <x:f>K13-C13</x:f>
        <x:v>1</x:v>
      </x:c>
      <x:c r="M13" s="54" t="str">
        <x:f>IF(ABS(L13)&lt;=1,"On target",IF(L13&lt;-3,"Below target - review archetype/attributes/caps",IF(L13&gt;3,"Above target - review attributes/weights","Close")))</x:f>
        <x:v>On target</x:v>
      </x:c>
      <x:c r="N13" s="54" t="n">
        <x:f>'Santurce Attribute Matrix'!M$13*0.42+'Santurce Attribute Matrix'!M$12*0.18+'Santurce Attribute Matrix'!M$14*0.08+'Santurce Attribute Matrix'!M$16*0.22+'Santurce Attribute Matrix'!M$30*0.1</x:f>
        <x:v>53.519999999999996</x:v>
      </x:c>
      <x:c r="O13" s="54" t="n">
        <x:f>'Santurce Attribute Matrix'!M$13*0.35+'Santurce Attribute Matrix'!M$16*0.35+'Santurce Attribute Matrix'!M$29*0.12+'Santurce Attribute Matrix'!M$30*0.1+'Santurce Attribute Matrix'!M$12*0.08</x:f>
        <x:v>59.57999999999999</x:v>
      </x:c>
      <x:c r="P13" s="54" t="n">
        <x:f>'Santurce Attribute Matrix'!M$15*0.35+'Santurce Attribute Matrix'!M$18*0.22+'Santurce Attribute Matrix'!M$12*0.18+'Santurce Attribute Matrix'!M$13*0.1+'Santurce Attribute Matrix'!M$7*0.08+'Santurce Attribute Matrix'!M$11*0.07</x:f>
        <x:v>64.75</x:v>
      </x:c>
      <x:c r="Q13" s="54" t="n">
        <x:f>'Santurce Attribute Matrix'!M$7*0.34+'Santurce Attribute Matrix'!M$11*0.22+'Santurce Attribute Matrix'!M$25*0.15+'Santurce Attribute Matrix'!M$26*0.12+'Santurce Attribute Matrix'!M$6*0.1+'Santurce Attribute Matrix'!M$8*0.07</x:f>
        <x:v>79.4</x:v>
      </x:c>
      <x:c r="R13" s="54" t="n">
        <x:f>'Santurce Attribute Matrix'!M$17*0.45+'Santurce Attribute Matrix'!M$18*0.25+'Santurce Attribute Matrix'!M$30*0.25+'Santurce Attribute Matrix'!M$15*0.05</x:f>
        <x:v>73.7</x:v>
      </x:c>
      <x:c r="S13" s="54" t="n">
        <x:f>'Santurce Attribute Matrix'!M$17*0.38+'Santurce Attribute Matrix'!M$18*0.27+'Santurce Attribute Matrix'!M$30*0.25+'Santurce Attribute Matrix'!M$15*0.1</x:f>
        <x:v>73.32</x:v>
      </x:c>
      <x:c r="T13" s="54" t="n">
        <x:f>'Santurce Attribute Matrix'!M$17*0.42+'Santurce Attribute Matrix'!M$30*0.32+'Santurce Attribute Matrix'!M$10*0.16+'Santurce Attribute Matrix'!M$18*0.1</x:f>
        <x:v>77.03999999999999</x:v>
      </x:c>
      <x:c r="U13" s="54" t="n">
        <x:f>'Santurce Attribute Matrix'!M$20*0.44+'Santurce Attribute Matrix'!M$31*0.24+'Santurce Attribute Matrix'!M$21*0.14+'Santurce Attribute Matrix'!M$25*0.06+'Santurce Attribute Matrix'!M$27*0.06+'Santurce Attribute Matrix'!M$33*0.06</x:f>
        <x:v>72.68</x:v>
      </x:c>
      <x:c r="V13" s="54" t="n">
        <x:f>'Santurce Attribute Matrix'!M$20*0.32+'Santurce Attribute Matrix'!M$31*0.24+'Santurce Attribute Matrix'!M$27*0.13+'Santurce Attribute Matrix'!M$21*0.12+'Santurce Attribute Matrix'!M$22*0.08+'Santurce Attribute Matrix'!M$25*0.06+'Santurce Attribute Matrix'!M$33*0.05</x:f>
        <x:v>74.36</x:v>
      </x:c>
      <x:c r="W13" s="54" t="n">
        <x:f>'Santurce Attribute Matrix'!M$19*0.34+'Santurce Attribute Matrix'!M$31*0.24+'Santurce Attribute Matrix'!M$22*0.2+'Santurce Attribute Matrix'!M$27*0.1+'Santurce Attribute Matrix'!M$24*0.08+'Santurce Attribute Matrix'!M$33*0.04</x:f>
        <x:v>81.56</x:v>
      </x:c>
      <x:c r="X13" s="54" t="n">
        <x:f>'Santurce Attribute Matrix'!M$24*0.5+'Santurce Attribute Matrix'!M$23*0.25+'Santurce Attribute Matrix'!M$27*0.1+'Santurce Attribute Matrix'!M$28*0.08+'Santurce Attribute Matrix'!M$33*0.07</x:f>
        <x:v>84.81</x:v>
      </x:c>
      <x:c r="Y13" s="54" t="n">
        <x:f>'Santurce Attribute Matrix'!M$25*0.28+'Santurce Attribute Matrix'!M$26*0.25+'Santurce Attribute Matrix'!M$29*0.22+'Santurce Attribute Matrix'!M$28*0.12+'Santurce Attribute Matrix'!M$27*0.13</x:f>
        <x:v>72.18</x:v>
      </x:c>
      <x:c r="Z13" s="54" t="n">
        <x:f>'Santurce Attribute Matrix'!M$6*0.24+'Santurce Attribute Matrix'!M$10*0.24+'Santurce Attribute Matrix'!M$9*0.16+'Santurce Attribute Matrix'!M$7*0.12+'Santurce Attribute Matrix'!M$11*0.12+'Santurce Attribute Matrix'!M$27*0.08+'Santurce Attribute Matrix'!M$30*0.04</x:f>
        <x:v>84.03999999999999</x:v>
      </x:c>
      <x:c r="AA13" s="54" t="n">
        <x:f>'Santurce Attribute Matrix'!M$13*0.36+'Santurce Attribute Matrix'!M$12*0.18+'Santurce Attribute Matrix'!M$16*0.16+'Santurce Attribute Matrix'!M$14*0.1+'Santurce Attribute Matrix'!M$30*0.12+'Santurce Attribute Matrix'!M$15*0.08</x:f>
        <x:v>55.28</x:v>
      </x:c>
      <x:c r="AB13" s="54" t="n">
        <x:f>'Santurce Attribute Matrix'!M$30*0.34+'Santurce Attribute Matrix'!M$31*0.24+'Santurce Attribute Matrix'!M$32*0.24+'Santurce Attribute Matrix'!M$33*0.18</x:f>
        <x:v>82.32000000000001</x:v>
      </x:c>
      <x:c r="AC13" s="54" t="n">
        <x:f>R13*0.45+N13*0.14+P13*0.13+U13*0.1+Y13*0.06+AB13*0.12</x:f>
        <x:v>70.5525</x:v>
      </x:c>
      <x:c r="AD13" s="54" t="n">
        <x:f>P13*0.34+Q13*0.22+N13*0.2+R13*0.1+Y13*0.08+AB13*0.06</x:f>
        <x:v>68.2706</x:v>
      </x:c>
      <x:c r="AE13" s="54" t="n">
        <x:f>U13*0.38+R13*0.22+Y13*0.14+N13*0.12+P13*0.08+AB13*0.06</x:f>
        <x:v>70.47920000000002</x:v>
      </x:c>
      <x:c r="AF13" s="54" t="n">
        <x:f>X13*0.24+U13*0.2+Y13*0.16+R13*0.18+Q13*0.12+N13*0.1</x:f>
        <x:v>74.5852</x:v>
      </x:c>
      <x:c r="AG13" s="54" t="n">
        <x:f>O13*0.35+N13*0.24+R13*0.14+U13*0.1+Y13*0.07+AB13*0.1</x:f>
        <x:v>64.5684</x:v>
      </x:c>
      <x:c r="AH13" s="54" t="n">
        <x:f>O13*0.44+N13*0.26+P13*0.12+U13*0.07+Y13*0.04+AB13*0.05+R13*0.02</x:f>
        <x:v>61.46519999999999</x:v>
      </x:c>
      <x:c r="AI13" s="54" t="n">
        <x:f>P13*0.34+N13*0.22+Q13*0.14+O13*0.12+U13*0.08+Y13*0.06+AB13*0.04</x:f>
        <x:v>65.493</x:v>
      </x:c>
      <x:c r="AJ13" s="54" t="n">
        <x:f>Q13*0.34+P13*0.2+Y13*0.16+U13*0.1+N13*0.1+AB13*0.06+R13*0.04</x:f>
        <x:v>72.002</x:v>
      </x:c>
      <x:c r="AK13" s="54" t="n">
        <x:f>N13*0.3+O13*0.2+U13*0.26+Y13*0.08+AB13*0.08+P13*0.05+X13*0.03</x:f>
        <x:v>65.01059999999998</x:v>
      </x:c>
      <x:c r="AL13" s="54" t="n">
        <x:f>R13*0.26+P13*0.24+N13*0.18+Q13*0.12+U13*0.1+Y13*0.06+AB13*0.04</x:f>
        <x:v>68.7552</x:v>
      </x:c>
      <x:c r="AM13" s="54" t="n">
        <x:f>X13*0.22+U13*0.18+O13*0.18+P13*0.14+Y13*0.12+N13*0.1+AB13*0.06</x:f>
        <x:v>70.4828</x:v>
      </x:c>
      <x:c r="AN13" s="54" t="n">
        <x:f>P13*0.28+N13*0.22+Q13*0.18+O13*0.12+V13*0.08+Y13*0.07+AB13*0.05</x:f>
        <x:v>66.46340000000001</x:v>
      </x:c>
      <x:c r="AO13" s="54" t="n">
        <x:f>N13*0.28+V13*0.28+O13*0.16+Y13*0.08+X13*0.07+AB13*0.08+P13*0.05</x:f>
        <x:v>66.8734</x:v>
      </x:c>
      <x:c r="AP13" s="54" t="n">
        <x:f>S13*0.32+P13*0.18+N13*0.14+Q13*0.1+V13*0.1+X13*0.07+AB13*0.09</x:f>
        <x:v>71.33170000000001</x:v>
      </x:c>
      <x:c r="AQ13" s="54" t="n">
        <x:f>Q13*0.3+Y13*0.18+P13*0.18+V13*0.12+X13*0.08+N13*0.08+AB13*0.06</x:f>
        <x:v>73.3962</x:v>
      </x:c>
      <x:c r="AR13" s="54" t="n">
        <x:f>X13*0.24+V13*0.2+Y13*0.14+Q13*0.12+N13*0.12+S13*0.08+AB13*0.1</x:f>
        <x:v>75.3796</x:v>
      </x:c>
      <x:c r="AS13" s="54" t="n">
        <x:f>O13*0.34+N13*0.24+V13*0.14+P13*0.1+Y13*0.07+X13*0.04+AB13*0.07</x:f>
        <x:v>64.1948</x:v>
      </x:c>
      <x:c r="AT13" s="54" t="n">
        <x:f>AA13*0.32+N13*0.18+X13*0.13+W13*0.13+T13*0.08+Y13*0.06+AB13*0.1</x:f>
        <x:v>67.6773</x:v>
      </x:c>
      <x:c r="AU13" s="54" t="n">
        <x:f>Z13*0.3+X13*0.2+W13*0.16+Q13*0.12+Y13*0.08+T13*0.06+AB13*0.08</x:f>
        <x:v>81.734</x:v>
      </x:c>
      <x:c r="AV13" s="54" t="n">
        <x:f>W13*0.3+X13*0.28+Y13*0.1+Z13*0.1+T13*0.07+AA13*0.06+AB13*0.09</x:f>
        <x:v>79.9552</x:v>
      </x:c>
      <x:c r="AW13" s="54" t="n">
        <x:f>T13*0.28+AA13*0.16+Z13*0.14+X13*0.14+W13*0.12+AB13*0.1+Y13*0.06</x:f>
        <x:v>76.405</x:v>
      </x:c>
      <x:c r="AX13" s="54" t="n">
        <x:f>Q13*0.24+Z13*0.24+Y13*0.16+X13*0.14+W13*0.12+AB13*0.06+T13*0.04</x:f>
        <x:v>80.4558</x:v>
      </x:c>
      <x:c r="AY13" s="54" t="n">
        <x:f>V13*0.22+AA13*0.2+Y13*0.14+X13*0.14+T13*0.12+Q13*0.08+AB13*0.1</x:f>
        <x:v>73.2226</x:v>
      </x:c>
      <x:c r="AZ13" s="54" t="n">
        <x:f>W13*0.36+X13*0.22+Y13*0.1+Z13*0.12+T13*0.06+AB13*0.1+AA13*0.04</x:f>
        <x:v>80.38820000000001</x:v>
      </x:c>
      <x:c r="BA13" s="54" t="n">
        <x:f>X13*0.34+W13*0.24+Z13*0.14+Y13*0.1+AB13*0.08+T13*0.06+AA13*0.04</x:f>
        <x:v>80.8126</x:v>
      </x:c>
      <x:c r="BB13" s="54" t="n">
        <x:f>Z13*0.34+X13*0.18+W13*0.16+T13*0.1+AB13*0.08+Y13*0.08+AA13*0.06</x:f>
        <x:v>80.26979999999999</x:v>
      </x:c>
      <x:c r="BC13" s="54" t="n">
        <x:f>AA13*0.3+N13*0.18+W13*0.16+X13*0.14+T13*0.08+Y13*0.05+AB13*0.09</x:f>
        <x:v>68.3216</x:v>
      </x:c>
      <x:c r="BD13" s="54" t="n">
        <x:f>T13*0.3+Z13*0.18+X13*0.16+W13*0.16+AA13*0.08+AB13*0.08+Y13*0.04</x:f>
        <x:v>78.7536</x:v>
      </x:c>
      <x:c r="BE13" s="54" t="n">
        <x:f>Q13*0.24+Z13*0.24+Y13*0.16+X13*0.16+W13*0.12+AB13*0.06+T13*0.02</x:f>
        <x:v>80.6112</x:v>
      </x:c>
      <x:c r="BF13" s="55" t="n">
        <x:f>W13*0.24+V13*0.2+Y13*0.16+X13*0.16+Q13*0.08+T13*0.08+AB13*0.08</x:f>
        <x:v>78.6656</x:v>
      </x:c>
    </x:row>
    <x:row r="14">
      <x:c r="A14" s="53" t="str">
        <x:f>'Santurce Attribute Matrix'!N$1</x:f>
        <x:v>Davon Jefferson</x:v>
      </x:c>
      <x:c r="B14" s="54" t="str">
        <x:f>'Santurce Attribute Matrix'!N$2</x:f>
        <x:v>PF</x:v>
      </x:c>
      <x:c r="C14" s="54" t="n">
        <x:f>'Santurce Attribute Matrix'!N$5</x:f>
        <x:v>77</x:v>
      </x:c>
      <x:c r="D14" s="54" t="n">
        <x:f>IF(B14="PG",'Santurce Attribute Matrix'!N$18*0.12+'Santurce Attribute Matrix'!N$17*0.115+'Santurce Attribute Matrix'!N$30*0.075+'Santurce Attribute Matrix'!N$15*0.07+'Santurce Attribute Matrix'!N$25*0.065+'Santurce Attribute Matrix'!N$13*0.065+'Santurce Attribute Matrix'!N$7*0.055+'Santurce Attribute Matrix'!N$26*0.055+'Santurce Attribute Matrix'!N$20*0.055+'Santurce Attribute Matrix'!N$21*0.04+'Santurce Attribute Matrix'!N$11*0.04+'Santurce Attribute Matrix'!N$14*0.03+'Santurce Attribute Matrix'!N$12*0.03+'Santurce Attribute Matrix'!N$31*0.03+'Santurce Attribute Matrix'!N$32*0.028+'Santurce Attribute Matrix'!N$29*0.025+'Santurce Attribute Matrix'!N$6*0.015+'Santurce Attribute Matrix'!N$16*0.015+'Santurce Attribute Matrix'!N$33*0.015+'Santurce Attribute Matrix'!N$24*0.012+'Santurce Attribute Matrix'!N$27*0.012+'Santurce Attribute Matrix'!N$28*0.008+'Santurce Attribute Matrix'!N$19*0.008+'Santurce Attribute Matrix'!N$23*0.005+'Santurce Attribute Matrix'!N$8*0.005+'Santurce Attribute Matrix'!N$22*0.003+'Santurce Attribute Matrix'!N$10*0.002+'Santurce Attribute Matrix'!N$9*0.002,IF(B14="SG",'Santurce Attribute Matrix'!N$13*0.11+'Santurce Attribute Matrix'!N$15*0.09+'Santurce Attribute Matrix'!N$7*0.07+'Santurce Attribute Matrix'!N$12*0.065+'Santurce Attribute Matrix'!N$16*0.06+'Santurce Attribute Matrix'!N$20*0.06+'Santurce Attribute Matrix'!N$18*0.06+'Santurce Attribute Matrix'!N$30*0.05+'Santurce Attribute Matrix'!N$11*0.05+'Santurce Attribute Matrix'!N$17*0.045+'Santurce Attribute Matrix'!N$14*0.04+'Santurce Attribute Matrix'!N$25*0.04+'Santurce Attribute Matrix'!N$21*0.035+'Santurce Attribute Matrix'!N$26*0.035+'Santurce Attribute Matrix'!N$32*0.035+'Santurce Attribute Matrix'!N$31*0.025+'Santurce Attribute Matrix'!N$29*0.02+'Santurce Attribute Matrix'!N$33*0.02+'Santurce Attribute Matrix'!N$6*0.015+'Santurce Attribute Matrix'!N$27*0.015+'Santurce Attribute Matrix'!N$28*0.015+'Santurce Attribute Matrix'!N$24*0.015+'Santurce Attribute Matrix'!N$19*0.01+'Santurce Attribute Matrix'!N$23*0.005+'Santurce Attribute Matrix'!N$8*0.005+'Santurce Attribute Matrix'!N$22*0.005+'Santurce Attribute Matrix'!N$10*0.003+'Santurce Attribute Matrix'!N$9*0.002,IF(B14="SF",'Santurce Attribute Matrix'!N$20*0.075+'Santurce Attribute Matrix'!N$13*0.075+'Santurce Attribute Matrix'!N$7*0.055+'Santurce Attribute Matrix'!N$15*0.055+'Santurce Attribute Matrix'!N$16*0.055+'Santurce Attribute Matrix'!N$30*0.05+'Santurce Attribute Matrix'!N$31*0.05+'Santurce Attribute Matrix'!N$12*0.05+'Santurce Attribute Matrix'!N$27*0.045+'Santurce Attribute Matrix'!N$25*0.045+'Santurce Attribute Matrix'!N$26*0.04+'Santurce Attribute Matrix'!N$18*0.04+'Santurce Attribute Matrix'!N$24*0.04+'Santurce Attribute Matrix'!N$11*0.04+'Santurce Attribute Matrix'!N$21*0.035+'Santurce Attribute Matrix'!N$14*0.03+'Santurce Attribute Matrix'!N$28*0.025+'Santurce Attribute Matrix'!N$17*0.025+'Santurce Attribute Matrix'!N$29*0.025+'Santurce Attribute Matrix'!N$32*0.025+'Santurce Attribute Matrix'!N$33*0.025+'Santurce Attribute Matrix'!N$6*0.02+'Santurce Attribute Matrix'!N$19*0.02+'Santurce Attribute Matrix'!N$23*0.015+'Santurce Attribute Matrix'!N$8*0.015+'Santurce Attribute Matrix'!N$22*0.01+'Santurce Attribute Matrix'!N$10*0.008+'Santurce Attribute Matrix'!N$9*0.007,IF(B14="PF",'Santurce Attribute Matrix'!N$19*0.08+'Santurce Attribute Matrix'!N$24*0.075+'Santurce Attribute Matrix'!N$6*0.07+'Santurce Attribute Matrix'!N$27*0.065+'Santurce Attribute Matrix'!N$23*0.06+'Santurce Attribute Matrix'!N$10*0.045+'Santurce Attribute Matrix'!N$31*0.045+'Santurce Attribute Matrix'!N$12*0.045+'Santurce Attribute Matrix'!N$9*0.04+'Santurce Attribute Matrix'!N$11*0.04+'Santurce Attribute Matrix'!N$22*0.04+'Santurce Attribute Matrix'!N$30*0.04+'Santurce Attribute Matrix'!N$33*0.04+'Santurce Attribute Matrix'!N$13*0.04+'Santurce Attribute Matrix'!N$7*0.04+'Santurce Attribute Matrix'!N$28*0.035+'Santurce Attribute Matrix'!N$20*0.03+'Santurce Attribute Matrix'!N$29*0.025+'Santurce Attribute Matrix'!N$14*0.02+'Santurce Attribute Matrix'!N$25*0.02+'Santurce Attribute Matrix'!N$26*0.015+'Santurce Attribute Matrix'!N$17*0.015+'Santurce Attribute Matrix'!N$16*0.015+'Santurce Attribute Matrix'!N$32*0.015+'Santurce Attribute Matrix'!N$8*0.015+'Santurce Attribute Matrix'!N$18*0.01+'Santurce Attribute Matrix'!N$21*0.01+'Santurce Attribute Matrix'!N$15*0.01,'Santurce Attribute Matrix'!N$19*0.11+'Santurce Attribute Matrix'!N$24*0.1+'Santurce Attribute Matrix'!N$6*0.08+'Santurce Attribute Matrix'!N$27*0.075+'Santurce Attribute Matrix'!N$22*0.075+'Santurce Attribute Matrix'!N$23*0.065+'Santurce Attribute Matrix'!N$9*0.055+'Santurce Attribute Matrix'!N$31*0.055+'Santurce Attribute Matrix'!N$10*0.05+'Santurce Attribute Matrix'!N$11*0.045+'Santurce Attribute Matrix'!N$30*0.035+'Santurce Attribute Matrix'!N$28*0.035+'Santurce Attribute Matrix'!N$33*0.035+'Santurce Attribute Matrix'!N$14*0.02+'Santurce Attribute Matrix'!N$29*0.02+'Santurce Attribute Matrix'!N$12*0.02+'Santurce Attribute Matrix'!N$20*0.015+'Santurce Attribute Matrix'!N$13*0.015+'Santurce Attribute Matrix'!N$17*0.015+'Santurce Attribute Matrix'!N$25*0.015+'Santurce Attribute Matrix'!N$26*0.01+'Santurce Attribute Matrix'!N$16*0.01+'Santurce Attribute Matrix'!N$7*0.01+'Santurce Attribute Matrix'!N$8*0.01+'Santurce Attribute Matrix'!N$32*0.01+'Santurce Attribute Matrix'!N$18*0.005+'Santurce Attribute Matrix'!N$21*0.005+'Santurce Attribute Matrix'!N$15*0.005))))</x:f>
        <x:v>76.54499999999999</x:v>
      </x:c>
      <x:c r="E14" s="54" t="str">
        <x:f>IF(B14="PG",INDEX($AC$1:$AG$1,1,MATCH(F14,AC14:AG14,0)),IF(B14="SG",INDEX($AH$1:$AM$1,1,MATCH(F14,AH14:AM14,0)),IF(B14="SF",INDEX($AN$1:$AS$1,1,MATCH(F14,AN14:AS14,0)),IF(B14="PF",INDEX($AT$1:$AY$1,1,MATCH(F14,AT14:AY14,0)),INDEX($AZ$1:$BF$1,1,MATCH(F14,AZ14:BF14,0))))))</x:f>
        <x:v>interiorPF</x:v>
      </x:c>
      <x:c r="F14" s="54" t="n">
        <x:f>IF(B14="PG",MAX(AC14:AG14),IF(B14="SG",MAX(AH14:AM14),IF(B14="SF",MAX(AN14:AS14),IF(B14="PF",MAX(AT14:AY14),MAX(AZ14:BF14)))))</x:f>
        <x:v>81.2968</x:v>
      </x:c>
      <x:c r="G14" s="54" t="n">
        <x:f>D14*0.70</x:f>
        <x:v>53.58149999999999</x:v>
      </x:c>
      <x:c r="H14" s="54" t="n">
        <x:f>F14*0.30</x:f>
        <x:v>24.38904</x:v>
      </x:c>
      <x:c r="I14" s="54" t="n">
        <x:f>G14+H14</x:f>
        <x:v>77.97054</x:v>
      </x:c>
      <x:c r="J14" s="54" t="n">
        <x:f>MIN(D14+6,MAX(D14-2,I14))</x:f>
        <x:v>77.97054</x:v>
      </x:c>
      <x:c r="K14" s="54" t="n">
        <x:f>ROUND(MAX(25,MIN(99,J14)),0)</x:f>
        <x:v>78</x:v>
      </x:c>
      <x:c r="L14" s="54" t="n">
        <x:f>K14-C14</x:f>
        <x:v>1</x:v>
      </x:c>
      <x:c r="M14" s="54" t="str">
        <x:f>IF(ABS(L14)&lt;=1,"On target",IF(L14&lt;-3,"Below target - review archetype/attributes/caps",IF(L14&gt;3,"Above target - review attributes/weights","Close")))</x:f>
        <x:v>On target</x:v>
      </x:c>
      <x:c r="N14" s="54" t="n">
        <x:f>'Santurce Attribute Matrix'!N$13*0.42+'Santurce Attribute Matrix'!N$12*0.18+'Santurce Attribute Matrix'!N$14*0.08+'Santurce Attribute Matrix'!N$16*0.22+'Santurce Attribute Matrix'!N$30*0.1</x:f>
        <x:v>50.599999999999994</x:v>
      </x:c>
      <x:c r="O14" s="54" t="n">
        <x:f>'Santurce Attribute Matrix'!N$13*0.35+'Santurce Attribute Matrix'!N$16*0.35+'Santurce Attribute Matrix'!N$29*0.12+'Santurce Attribute Matrix'!N$30*0.1+'Santurce Attribute Matrix'!N$12*0.08</x:f>
        <x:v>57.84999999999999</x:v>
      </x:c>
      <x:c r="P14" s="54" t="n">
        <x:f>'Santurce Attribute Matrix'!N$15*0.35+'Santurce Attribute Matrix'!N$18*0.22+'Santurce Attribute Matrix'!N$12*0.18+'Santurce Attribute Matrix'!N$13*0.1+'Santurce Attribute Matrix'!N$7*0.08+'Santurce Attribute Matrix'!N$11*0.07</x:f>
        <x:v>66.13</x:v>
      </x:c>
      <x:c r="Q14" s="54" t="n">
        <x:f>'Santurce Attribute Matrix'!N$7*0.34+'Santurce Attribute Matrix'!N$11*0.22+'Santurce Attribute Matrix'!N$25*0.15+'Santurce Attribute Matrix'!N$26*0.12+'Santurce Attribute Matrix'!N$6*0.1+'Santurce Attribute Matrix'!N$8*0.07</x:f>
        <x:v>77.75</x:v>
      </x:c>
      <x:c r="R14" s="54" t="n">
        <x:f>'Santurce Attribute Matrix'!N$17*0.45+'Santurce Attribute Matrix'!N$18*0.25+'Santurce Attribute Matrix'!N$30*0.25+'Santurce Attribute Matrix'!N$15*0.05</x:f>
        <x:v>73.1</x:v>
      </x:c>
      <x:c r="S14" s="54" t="n">
        <x:f>'Santurce Attribute Matrix'!N$17*0.38+'Santurce Attribute Matrix'!N$18*0.27+'Santurce Attribute Matrix'!N$30*0.25+'Santurce Attribute Matrix'!N$15*0.1</x:f>
        <x:v>73.14</x:v>
      </x:c>
      <x:c r="T14" s="54" t="n">
        <x:f>'Santurce Attribute Matrix'!N$17*0.42+'Santurce Attribute Matrix'!N$30*0.32+'Santurce Attribute Matrix'!N$10*0.16+'Santurce Attribute Matrix'!N$18*0.1</x:f>
        <x:v>76.89999999999999</x:v>
      </x:c>
      <x:c r="U14" s="54" t="n">
        <x:f>'Santurce Attribute Matrix'!N$20*0.44+'Santurce Attribute Matrix'!N$31*0.24+'Santurce Attribute Matrix'!N$21*0.14+'Santurce Attribute Matrix'!N$25*0.06+'Santurce Attribute Matrix'!N$27*0.06+'Santurce Attribute Matrix'!N$33*0.06</x:f>
        <x:v>70.24</x:v>
      </x:c>
      <x:c r="V14" s="54" t="n">
        <x:f>'Santurce Attribute Matrix'!N$20*0.32+'Santurce Attribute Matrix'!N$31*0.24+'Santurce Attribute Matrix'!N$27*0.13+'Santurce Attribute Matrix'!N$21*0.12+'Santurce Attribute Matrix'!N$22*0.08+'Santurce Attribute Matrix'!N$25*0.06+'Santurce Attribute Matrix'!N$33*0.05</x:f>
        <x:v>71.97999999999999</x:v>
      </x:c>
      <x:c r="W14" s="54" t="n">
        <x:f>'Santurce Attribute Matrix'!N$19*0.34+'Santurce Attribute Matrix'!N$31*0.24+'Santurce Attribute Matrix'!N$22*0.2+'Santurce Attribute Matrix'!N$27*0.1+'Santurce Attribute Matrix'!N$24*0.08+'Santurce Attribute Matrix'!N$33*0.04</x:f>
        <x:v>78.50000000000001</x:v>
      </x:c>
      <x:c r="X14" s="54" t="n">
        <x:f>'Santurce Attribute Matrix'!N$24*0.5+'Santurce Attribute Matrix'!N$23*0.25+'Santurce Attribute Matrix'!N$27*0.1+'Santurce Attribute Matrix'!N$28*0.08+'Santurce Attribute Matrix'!N$33*0.07</x:f>
        <x:v>86.78</x:v>
      </x:c>
      <x:c r="Y14" s="54" t="n">
        <x:f>'Santurce Attribute Matrix'!N$25*0.28+'Santurce Attribute Matrix'!N$26*0.25+'Santurce Attribute Matrix'!N$29*0.22+'Santurce Attribute Matrix'!N$28*0.12+'Santurce Attribute Matrix'!N$27*0.13</x:f>
        <x:v>70.93</x:v>
      </x:c>
      <x:c r="Z14" s="54" t="n">
        <x:f>'Santurce Attribute Matrix'!N$6*0.24+'Santurce Attribute Matrix'!N$10*0.24+'Santurce Attribute Matrix'!N$9*0.16+'Santurce Attribute Matrix'!N$7*0.12+'Santurce Attribute Matrix'!N$11*0.12+'Santurce Attribute Matrix'!N$27*0.08+'Santurce Attribute Matrix'!N$30*0.04</x:f>
        <x:v>84.04</x:v>
      </x:c>
      <x:c r="AA14" s="54" t="n">
        <x:f>'Santurce Attribute Matrix'!N$13*0.36+'Santurce Attribute Matrix'!N$12*0.18+'Santurce Attribute Matrix'!N$16*0.16+'Santurce Attribute Matrix'!N$14*0.1+'Santurce Attribute Matrix'!N$30*0.12+'Santurce Attribute Matrix'!N$15*0.08</x:f>
        <x:v>52.839999999999996</x:v>
      </x:c>
      <x:c r="AB14" s="54" t="n">
        <x:f>'Santurce Attribute Matrix'!N$30*0.34+'Santurce Attribute Matrix'!N$31*0.24+'Santurce Attribute Matrix'!N$32*0.24+'Santurce Attribute Matrix'!N$33*0.18</x:f>
        <x:v>81.88</x:v>
      </x:c>
      <x:c r="AC14" s="54" t="n">
        <x:f>R14*0.45+N14*0.14+P14*0.13+U14*0.1+Y14*0.06+AB14*0.12</x:f>
        <x:v>69.6813</x:v>
      </x:c>
      <x:c r="AD14" s="54" t="n">
        <x:f>P14*0.34+Q14*0.22+N14*0.2+R14*0.1+Y14*0.08+AB14*0.06</x:f>
        <x:v>67.60640000000001</x:v>
      </x:c>
      <x:c r="AE14" s="54" t="n">
        <x:f>U14*0.38+R14*0.22+Y14*0.14+N14*0.12+P14*0.08+AB14*0.06</x:f>
        <x:v>68.9786</x:v>
      </x:c>
      <x:c r="AF14" s="54" t="n">
        <x:f>X14*0.24+U14*0.2+Y14*0.16+R14*0.18+Q14*0.12+N14*0.1</x:f>
        <x:v>73.772</x:v>
      </x:c>
      <x:c r="AG14" s="54" t="n">
        <x:f>O14*0.35+N14*0.24+R14*0.14+U14*0.1+Y14*0.07+AB14*0.1</x:f>
        <x:v>62.8026</x:v>
      </x:c>
      <x:c r="AH14" s="54" t="n">
        <x:f>O14*0.44+N14*0.26+P14*0.12+U14*0.07+Y14*0.04+AB14*0.05+R14*0.02</x:f>
        <x:v>59.8556</x:v>
      </x:c>
      <x:c r="AI14" s="54" t="n">
        <x:f>P14*0.34+N14*0.22+Q14*0.14+O14*0.12+U14*0.08+Y14*0.06+AB14*0.04</x:f>
        <x:v>64.5934</x:v>
      </x:c>
      <x:c r="AJ14" s="54" t="n">
        <x:f>Q14*0.34+P14*0.2+Y14*0.16+U14*0.1+N14*0.1+AB14*0.06+R14*0.04</x:f>
        <x:v>70.93060000000001</x:v>
      </x:c>
      <x:c r="AK14" s="54" t="n">
        <x:f>N14*0.3+O14*0.2+U14*0.26+Y14*0.08+AB14*0.08+P14*0.05+X14*0.03</x:f>
        <x:v>63.1471</x:v>
      </x:c>
      <x:c r="AL14" s="54" t="n">
        <x:f>R14*0.26+P14*0.24+N14*0.18+Q14*0.12+U14*0.1+Y14*0.06+AB14*0.04</x:f>
        <x:v>67.8702</x:v>
      </x:c>
      <x:c r="AM14" s="54" t="n">
        <x:f>X14*0.22+U14*0.18+O14*0.18+P14*0.14+Y14*0.12+N14*0.1+AB14*0.06</x:f>
        <x:v>69.8904</x:v>
      </x:c>
      <x:c r="AN14" s="54" t="n">
        <x:f>P14*0.28+N14*0.22+Q14*0.18+O14*0.12+V14*0.08+Y14*0.07+AB14*0.05</x:f>
        <x:v>65.4029</x:v>
      </x:c>
      <x:c r="AO14" s="54" t="n">
        <x:f>N14*0.28+V14*0.28+O14*0.16+Y14*0.08+X14*0.07+AB14*0.08+P14*0.05</x:f>
        <x:v>65.1843</x:v>
      </x:c>
      <x:c r="AP14" s="54" t="n">
        <x:f>S14*0.32+P14*0.18+N14*0.14+Q14*0.1+V14*0.1+X14*0.07+AB14*0.09</x:f>
        <x:v>70.809</x:v>
      </x:c>
      <x:c r="AQ14" s="54" t="n">
        <x:f>Q14*0.3+Y14*0.18+P14*0.18+V14*0.12+X14*0.08+N14*0.08+AB14*0.06</x:f>
        <x:v>72.53659999999999</x:v>
      </x:c>
      <x:c r="AR14" s="54" t="n">
        <x:f>X14*0.24+V14*0.2+Y14*0.14+Q14*0.12+N14*0.12+S14*0.08+AB14*0.1</x:f>
        <x:v>74.5946</x:v>
      </x:c>
      <x:c r="AS14" s="54" t="n">
        <x:f>O14*0.34+N14*0.24+V14*0.14+P14*0.1+Y14*0.07+X14*0.04+AB14*0.07</x:f>
        <x:v>62.671099999999996</x:v>
      </x:c>
      <x:c r="AT14" s="54" t="n">
        <x:f>AA14*0.32+N14*0.18+X14*0.13+W14*0.13+T14*0.08+Y14*0.06+AB14*0.1</x:f>
        <x:v>66.09899999999999</x:v>
      </x:c>
      <x:c r="AU14" s="54" t="n">
        <x:f>Z14*0.3+X14*0.2+W14*0.16+Q14*0.12+Y14*0.08+T14*0.06+AB14*0.08</x:f>
        <x:v>81.2968</x:v>
      </x:c>
      <x:c r="AV14" s="54" t="n">
        <x:f>W14*0.3+X14*0.28+Y14*0.1+Z14*0.1+T14*0.07+AA14*0.06+AB14*0.09</x:f>
        <x:v>79.268</x:v>
      </x:c>
      <x:c r="AW14" s="54" t="n">
        <x:f>T14*0.28+AA14*0.16+Z14*0.14+X14*0.14+W14*0.12+AB14*0.1+Y14*0.06</x:f>
        <x:v>75.76500000000001</x:v>
      </x:c>
      <x:c r="AX14" s="54" t="n">
        <x:f>Q14*0.24+Z14*0.24+Y14*0.16+X14*0.14+W14*0.12+AB14*0.06+T14*0.04</x:f>
        <x:v>79.7364</x:v>
      </x:c>
      <x:c r="AY14" s="54" t="n">
        <x:f>V14*0.22+AA14*0.2+Y14*0.14+X14*0.14+T14*0.12+Q14*0.08+AB14*0.1</x:f>
        <x:v>72.119</x:v>
      </x:c>
      <x:c r="AZ14" s="54" t="n">
        <x:f>W14*0.36+X14*0.22+Y14*0.1+Z14*0.12+T14*0.06+AB14*0.1+AA14*0.04</x:f>
        <x:v>79.44500000000002</x:v>
      </x:c>
      <x:c r="BA14" s="54" t="n">
        <x:f>X14*0.34+W14*0.24+Z14*0.14+Y14*0.1+AB14*0.08+T14*0.06+AA14*0.04</x:f>
        <x:v>80.48180000000002</x:v>
      </x:c>
      <x:c r="BB14" s="54" t="n">
        <x:f>Z14*0.34+X14*0.18+W14*0.16+T14*0.1+AB14*0.08+Y14*0.08+AA14*0.06</x:f>
        <x:v>79.8392</x:v>
      </x:c>
      <x:c r="BC14" s="54" t="n">
        <x:f>AA14*0.3+N14*0.18+W14*0.16+X14*0.14+T14*0.08+Y14*0.05+AB14*0.09</x:f>
        <x:v>66.73689999999999</x:v>
      </x:c>
      <x:c r="BD14" s="54" t="n">
        <x:f>T14*0.3+Z14*0.18+X14*0.16+W14*0.16+AA14*0.08+AB14*0.08+Y14*0.04</x:f>
        <x:v>78.25679999999998</x:v>
      </x:c>
      <x:c r="BE14" s="54" t="n">
        <x:f>Q14*0.24+Z14*0.24+Y14*0.16+X14*0.16+W14*0.12+AB14*0.06+T14*0.02</x:f>
        <x:v>79.934</x:v>
      </x:c>
      <x:c r="BF14" s="55" t="n">
        <x:f>W14*0.24+V14*0.2+Y14*0.16+X14*0.16+Q14*0.08+T14*0.08+AB14*0.08</x:f>
        <x:v>77.392</x:v>
      </x:c>
    </x:row>
    <x:row r="15">
      <x:c r="A15" s="56" t="str">
        <x:f>'Santurce Attribute Matrix'!O$1</x:f>
        <x:v>Viktor Lakhin</x:v>
      </x:c>
      <x:c r="B15" s="57" t="str">
        <x:f>'Santurce Attribute Matrix'!O$2</x:f>
        <x:v>C</x:v>
      </x:c>
      <x:c r="C15" s="57" t="n">
        <x:f>'Santurce Attribute Matrix'!O$5</x:f>
        <x:v>78</x:v>
      </x:c>
      <x:c r="D15" s="57" t="n">
        <x:f>IF(B15="PG",'Santurce Attribute Matrix'!O$18*0.12+'Santurce Attribute Matrix'!O$17*0.115+'Santurce Attribute Matrix'!O$30*0.075+'Santurce Attribute Matrix'!O$15*0.07+'Santurce Attribute Matrix'!O$25*0.065+'Santurce Attribute Matrix'!O$13*0.065+'Santurce Attribute Matrix'!O$7*0.055+'Santurce Attribute Matrix'!O$26*0.055+'Santurce Attribute Matrix'!O$20*0.055+'Santurce Attribute Matrix'!O$21*0.04+'Santurce Attribute Matrix'!O$11*0.04+'Santurce Attribute Matrix'!O$14*0.03+'Santurce Attribute Matrix'!O$12*0.03+'Santurce Attribute Matrix'!O$31*0.03+'Santurce Attribute Matrix'!O$32*0.028+'Santurce Attribute Matrix'!O$29*0.025+'Santurce Attribute Matrix'!O$6*0.015+'Santurce Attribute Matrix'!O$16*0.015+'Santurce Attribute Matrix'!O$33*0.015+'Santurce Attribute Matrix'!O$24*0.012+'Santurce Attribute Matrix'!O$27*0.012+'Santurce Attribute Matrix'!O$28*0.008+'Santurce Attribute Matrix'!O$19*0.008+'Santurce Attribute Matrix'!O$23*0.005+'Santurce Attribute Matrix'!O$8*0.005+'Santurce Attribute Matrix'!O$22*0.003+'Santurce Attribute Matrix'!O$10*0.002+'Santurce Attribute Matrix'!O$9*0.002,IF(B15="SG",'Santurce Attribute Matrix'!O$13*0.11+'Santurce Attribute Matrix'!O$15*0.09+'Santurce Attribute Matrix'!O$7*0.07+'Santurce Attribute Matrix'!O$12*0.065+'Santurce Attribute Matrix'!O$16*0.06+'Santurce Attribute Matrix'!O$20*0.06+'Santurce Attribute Matrix'!O$18*0.06+'Santurce Attribute Matrix'!O$30*0.05+'Santurce Attribute Matrix'!O$11*0.05+'Santurce Attribute Matrix'!O$17*0.045+'Santurce Attribute Matrix'!O$14*0.04+'Santurce Attribute Matrix'!O$25*0.04+'Santurce Attribute Matrix'!O$21*0.035+'Santurce Attribute Matrix'!O$26*0.035+'Santurce Attribute Matrix'!O$32*0.035+'Santurce Attribute Matrix'!O$31*0.025+'Santurce Attribute Matrix'!O$29*0.02+'Santurce Attribute Matrix'!O$33*0.02+'Santurce Attribute Matrix'!O$6*0.015+'Santurce Attribute Matrix'!O$27*0.015+'Santurce Attribute Matrix'!O$28*0.015+'Santurce Attribute Matrix'!O$24*0.015+'Santurce Attribute Matrix'!O$19*0.01+'Santurce Attribute Matrix'!O$23*0.005+'Santurce Attribute Matrix'!O$8*0.005+'Santurce Attribute Matrix'!O$22*0.005+'Santurce Attribute Matrix'!O$10*0.003+'Santurce Attribute Matrix'!O$9*0.002,IF(B15="SF",'Santurce Attribute Matrix'!O$20*0.075+'Santurce Attribute Matrix'!O$13*0.075+'Santurce Attribute Matrix'!O$7*0.055+'Santurce Attribute Matrix'!O$15*0.055+'Santurce Attribute Matrix'!O$16*0.055+'Santurce Attribute Matrix'!O$30*0.05+'Santurce Attribute Matrix'!O$31*0.05+'Santurce Attribute Matrix'!O$12*0.05+'Santurce Attribute Matrix'!O$27*0.045+'Santurce Attribute Matrix'!O$25*0.045+'Santurce Attribute Matrix'!O$26*0.04+'Santurce Attribute Matrix'!O$18*0.04+'Santurce Attribute Matrix'!O$24*0.04+'Santurce Attribute Matrix'!O$11*0.04+'Santurce Attribute Matrix'!O$21*0.035+'Santurce Attribute Matrix'!O$14*0.03+'Santurce Attribute Matrix'!O$28*0.025+'Santurce Attribute Matrix'!O$17*0.025+'Santurce Attribute Matrix'!O$29*0.025+'Santurce Attribute Matrix'!O$32*0.025+'Santurce Attribute Matrix'!O$33*0.025+'Santurce Attribute Matrix'!O$6*0.02+'Santurce Attribute Matrix'!O$19*0.02+'Santurce Attribute Matrix'!O$23*0.015+'Santurce Attribute Matrix'!O$8*0.015+'Santurce Attribute Matrix'!O$22*0.01+'Santurce Attribute Matrix'!O$10*0.008+'Santurce Attribute Matrix'!O$9*0.007,IF(B15="PF",'Santurce Attribute Matrix'!O$19*0.08+'Santurce Attribute Matrix'!O$24*0.075+'Santurce Attribute Matrix'!O$6*0.07+'Santurce Attribute Matrix'!O$27*0.065+'Santurce Attribute Matrix'!O$23*0.06+'Santurce Attribute Matrix'!O$10*0.045+'Santurce Attribute Matrix'!O$31*0.045+'Santurce Attribute Matrix'!O$12*0.045+'Santurce Attribute Matrix'!O$9*0.04+'Santurce Attribute Matrix'!O$11*0.04+'Santurce Attribute Matrix'!O$22*0.04+'Santurce Attribute Matrix'!O$30*0.04+'Santurce Attribute Matrix'!O$33*0.04+'Santurce Attribute Matrix'!O$13*0.04+'Santurce Attribute Matrix'!O$7*0.04+'Santurce Attribute Matrix'!O$28*0.035+'Santurce Attribute Matrix'!O$20*0.03+'Santurce Attribute Matrix'!O$29*0.025+'Santurce Attribute Matrix'!O$14*0.02+'Santurce Attribute Matrix'!O$25*0.02+'Santurce Attribute Matrix'!O$26*0.015+'Santurce Attribute Matrix'!O$17*0.015+'Santurce Attribute Matrix'!O$16*0.015+'Santurce Attribute Matrix'!O$32*0.015+'Santurce Attribute Matrix'!O$8*0.015+'Santurce Attribute Matrix'!O$18*0.01+'Santurce Attribute Matrix'!O$21*0.01+'Santurce Attribute Matrix'!O$15*0.01,'Santurce Attribute Matrix'!O$19*0.11+'Santurce Attribute Matrix'!O$24*0.1+'Santurce Attribute Matrix'!O$6*0.08+'Santurce Attribute Matrix'!O$27*0.075+'Santurce Attribute Matrix'!O$22*0.075+'Santurce Attribute Matrix'!O$23*0.065+'Santurce Attribute Matrix'!O$9*0.055+'Santurce Attribute Matrix'!O$31*0.055+'Santurce Attribute Matrix'!O$10*0.05+'Santurce Attribute Matrix'!O$11*0.045+'Santurce Attribute Matrix'!O$30*0.035+'Santurce Attribute Matrix'!O$28*0.035+'Santurce Attribute Matrix'!O$33*0.035+'Santurce Attribute Matrix'!O$14*0.02+'Santurce Attribute Matrix'!O$29*0.02+'Santurce Attribute Matrix'!O$12*0.02+'Santurce Attribute Matrix'!O$20*0.015+'Santurce Attribute Matrix'!O$13*0.015+'Santurce Attribute Matrix'!O$17*0.015+'Santurce Attribute Matrix'!O$25*0.015+'Santurce Attribute Matrix'!O$26*0.01+'Santurce Attribute Matrix'!O$16*0.01+'Santurce Attribute Matrix'!O$7*0.01+'Santurce Attribute Matrix'!O$8*0.01+'Santurce Attribute Matrix'!O$32*0.01+'Santurce Attribute Matrix'!O$18*0.005+'Santurce Attribute Matrix'!O$21*0.005+'Santurce Attribute Matrix'!O$15*0.005))))</x:f>
        <x:v>77.62999999999998</x:v>
      </x:c>
      <x:c r="E15" s="57" t="str">
        <x:f>IF(B15="PG",INDEX($AC$1:$AG$1,1,MATCH(F15,AC15:AG15,0)),IF(B15="SG",INDEX($AH$1:$AM$1,1,MATCH(F15,AH15:AM15,0)),IF(B15="SF",INDEX($AN$1:$AS$1,1,MATCH(F15,AN15:AS15,0)),IF(B15="PF",INDEX($AT$1:$AY$1,1,MATCH(F15,AT15:AY15,0)),INDEX($AZ$1:$BF$1,1,MATCH(F15,AZ15:BF15,0))))))</x:f>
        <x:v>rimProtector</x:v>
      </x:c>
      <x:c r="F15" s="57" t="n">
        <x:f>IF(B15="PG",MAX(AC15:AG15),IF(B15="SG",MAX(AH15:AM15),IF(B15="SF",MAX(AN15:AS15),IF(B15="PF",MAX(AT15:AY15),MAX(AZ15:BF15)))))</x:f>
        <x:v>78.16919999999999</x:v>
      </x:c>
      <x:c r="G15" s="57" t="n">
        <x:f>D15*0.70</x:f>
        <x:v>54.34099999999999</x:v>
      </x:c>
      <x:c r="H15" s="57" t="n">
        <x:f>F15*0.30</x:f>
        <x:v>23.450759999999995</x:v>
      </x:c>
      <x:c r="I15" s="57" t="n">
        <x:f>G15+H15</x:f>
        <x:v>77.79175999999998</x:v>
      </x:c>
      <x:c r="J15" s="57" t="n">
        <x:f>MIN(D15+6,MAX(D15-2,I15))</x:f>
        <x:v>77.79175999999998</x:v>
      </x:c>
      <x:c r="K15" s="57" t="n">
        <x:f>ROUND(MAX(25,MIN(99,J15)),0)</x:f>
        <x:v>78</x:v>
      </x:c>
      <x:c r="L15" s="57" t="n">
        <x:f>K15-C15</x:f>
        <x:v>0</x:v>
      </x:c>
      <x:c r="M15" s="57" t="str">
        <x:f>IF(ABS(L15)&lt;=1,"On target",IF(L15&lt;-3,"Below target - review archetype/attributes/caps",IF(L15&gt;3,"Above target - review attributes/weights","Close")))</x:f>
        <x:v>On target</x:v>
      </x:c>
      <x:c r="N15" s="57" t="n">
        <x:f>'Santurce Attribute Matrix'!O$13*0.42+'Santurce Attribute Matrix'!O$12*0.18+'Santurce Attribute Matrix'!O$14*0.08+'Santurce Attribute Matrix'!O$16*0.22+'Santurce Attribute Matrix'!O$30*0.1</x:f>
        <x:v>73.42</x:v>
      </x:c>
      <x:c r="O15" s="57" t="n">
        <x:f>'Santurce Attribute Matrix'!O$13*0.35+'Santurce Attribute Matrix'!O$16*0.35+'Santurce Attribute Matrix'!O$29*0.12+'Santurce Attribute Matrix'!O$30*0.1+'Santurce Attribute Matrix'!O$12*0.08</x:f>
        <x:v>74.91</x:v>
      </x:c>
      <x:c r="P15" s="57" t="n">
        <x:f>'Santurce Attribute Matrix'!O$15*0.35+'Santurce Attribute Matrix'!O$18*0.22+'Santurce Attribute Matrix'!O$12*0.18+'Santurce Attribute Matrix'!O$13*0.1+'Santurce Attribute Matrix'!O$7*0.08+'Santurce Attribute Matrix'!O$11*0.07</x:f>
        <x:v>67.97</x:v>
      </x:c>
      <x:c r="Q15" s="57" t="n">
        <x:f>'Santurce Attribute Matrix'!O$7*0.34+'Santurce Attribute Matrix'!O$11*0.22+'Santurce Attribute Matrix'!O$25*0.15+'Santurce Attribute Matrix'!O$26*0.12+'Santurce Attribute Matrix'!O$6*0.1+'Santurce Attribute Matrix'!O$8*0.07</x:f>
        <x:v>73.01</x:v>
      </x:c>
      <x:c r="R15" s="57" t="n">
        <x:f>'Santurce Attribute Matrix'!O$17*0.45+'Santurce Attribute Matrix'!O$18*0.25+'Santurce Attribute Matrix'!O$30*0.25+'Santurce Attribute Matrix'!O$15*0.05</x:f>
        <x:v>69.35</x:v>
      </x:c>
      <x:c r="S15" s="57" t="n">
        <x:f>'Santurce Attribute Matrix'!O$17*0.38+'Santurce Attribute Matrix'!O$18*0.27+'Santurce Attribute Matrix'!O$30*0.25+'Santurce Attribute Matrix'!O$15*0.1</x:f>
        <x:v>69.12</x:v>
      </x:c>
      <x:c r="T15" s="57" t="n">
        <x:f>'Santurce Attribute Matrix'!O$17*0.42+'Santurce Attribute Matrix'!O$30*0.32+'Santurce Attribute Matrix'!O$10*0.16+'Santurce Attribute Matrix'!O$18*0.1</x:f>
        <x:v>72.4</x:v>
      </x:c>
      <x:c r="U15" s="57" t="n">
        <x:f>'Santurce Attribute Matrix'!O$20*0.44+'Santurce Attribute Matrix'!O$31*0.24+'Santurce Attribute Matrix'!O$21*0.14+'Santurce Attribute Matrix'!O$25*0.06+'Santurce Attribute Matrix'!O$27*0.06+'Santurce Attribute Matrix'!O$33*0.06</x:f>
        <x:v>71.64</x:v>
      </x:c>
      <x:c r="V15" s="57" t="n">
        <x:f>'Santurce Attribute Matrix'!O$20*0.32+'Santurce Attribute Matrix'!O$31*0.24+'Santurce Attribute Matrix'!O$27*0.13+'Santurce Attribute Matrix'!O$21*0.12+'Santurce Attribute Matrix'!O$22*0.08+'Santurce Attribute Matrix'!O$25*0.06+'Santurce Attribute Matrix'!O$33*0.05</x:f>
        <x:v>73.63999999999999</x:v>
      </x:c>
      <x:c r="W15" s="57" t="n">
        <x:f>'Santurce Attribute Matrix'!O$19*0.34+'Santurce Attribute Matrix'!O$31*0.24+'Santurce Attribute Matrix'!O$22*0.2+'Santurce Attribute Matrix'!O$27*0.1+'Santurce Attribute Matrix'!O$24*0.08+'Santurce Attribute Matrix'!O$33*0.04</x:f>
        <x:v>80.92</x:v>
      </x:c>
      <x:c r="X15" s="57" t="n">
        <x:f>'Santurce Attribute Matrix'!O$24*0.5+'Santurce Attribute Matrix'!O$23*0.25+'Santurce Attribute Matrix'!O$27*0.1+'Santurce Attribute Matrix'!O$28*0.08+'Santurce Attribute Matrix'!O$33*0.07</x:f>
        <x:v>79.63999999999999</x:v>
      </x:c>
      <x:c r="Y15" s="57" t="n">
        <x:f>'Santurce Attribute Matrix'!O$25*0.28+'Santurce Attribute Matrix'!O$26*0.25+'Santurce Attribute Matrix'!O$29*0.22+'Santurce Attribute Matrix'!O$28*0.12+'Santurce Attribute Matrix'!O$27*0.13</x:f>
        <x:v>70.18</x:v>
      </x:c>
      <x:c r="Z15" s="57" t="n">
        <x:f>'Santurce Attribute Matrix'!O$6*0.24+'Santurce Attribute Matrix'!O$10*0.24+'Santurce Attribute Matrix'!O$9*0.16+'Santurce Attribute Matrix'!O$7*0.12+'Santurce Attribute Matrix'!O$11*0.12+'Santurce Attribute Matrix'!O$27*0.08+'Santurce Attribute Matrix'!O$30*0.04</x:f>
        <x:v>78.16</x:v>
      </x:c>
      <x:c r="AA15" s="57" t="n">
        <x:f>'Santurce Attribute Matrix'!O$13*0.36+'Santurce Attribute Matrix'!O$12*0.18+'Santurce Attribute Matrix'!O$16*0.16+'Santurce Attribute Matrix'!O$14*0.1+'Santurce Attribute Matrix'!O$30*0.12+'Santurce Attribute Matrix'!O$15*0.08</x:f>
        <x:v>72.60000000000001</x:v>
      </x:c>
      <x:c r="AB15" s="57" t="n">
        <x:f>'Santurce Attribute Matrix'!O$30*0.34+'Santurce Attribute Matrix'!O$31*0.24+'Santurce Attribute Matrix'!O$32*0.24+'Santurce Attribute Matrix'!O$33*0.18</x:f>
        <x:v>78.72</x:v>
      </x:c>
      <x:c r="AC15" s="57" t="n">
        <x:f>R15*0.45+N15*0.14+P15*0.13+U15*0.1+Y15*0.06+AB15*0.12</x:f>
        <x:v>71.1436</x:v>
      </x:c>
      <x:c r="AD15" s="57" t="n">
        <x:f>P15*0.34+Q15*0.22+N15*0.2+R15*0.1+Y15*0.08+AB15*0.06</x:f>
        <x:v>71.1286</x:v>
      </x:c>
      <x:c r="AE15" s="57" t="n">
        <x:f>U15*0.38+R15*0.22+Y15*0.14+N15*0.12+P15*0.08+AB15*0.06</x:f>
        <x:v>71.27660000000002</x:v>
      </x:c>
      <x:c r="AF15" s="57" t="n">
        <x:f>X15*0.24+U15*0.2+Y15*0.16+R15*0.18+Q15*0.12+N15*0.1</x:f>
        <x:v>73.25659999999999</x:v>
      </x:c>
      <x:c r="AG15" s="57" t="n">
        <x:f>O15*0.35+N15*0.24+R15*0.14+U15*0.1+Y15*0.07+AB15*0.1</x:f>
        <x:v>73.4969</x:v>
      </x:c>
      <x:c r="AH15" s="57" t="n">
        <x:f>O15*0.44+N15*0.26+P15*0.12+U15*0.07+Y15*0.04+AB15*0.05+R15*0.02</x:f>
        <x:v>73.351</x:v>
      </x:c>
      <x:c r="AI15" s="57" t="n">
        <x:f>P15*0.34+N15*0.22+Q15*0.14+O15*0.12+U15*0.08+Y15*0.06+AB15*0.04</x:f>
        <x:v>71.5636</x:v>
      </x:c>
      <x:c r="AJ15" s="57" t="n">
        <x:f>Q15*0.34+P15*0.2+Y15*0.16+U15*0.1+N15*0.1+AB15*0.06+R15*0.04</x:f>
        <x:v>71.64940000000001</x:v>
      </x:c>
      <x:c r="AK15" s="57" t="n">
        <x:f>N15*0.3+O15*0.2+U15*0.26+Y15*0.08+AB15*0.08+P15*0.05+X15*0.03</x:f>
        <x:v>73.3341</x:v>
      </x:c>
      <x:c r="AL15" s="57" t="n">
        <x:f>R15*0.26+P15*0.24+N15*0.18+Q15*0.12+U15*0.1+Y15*0.06+AB15*0.04</x:f>
        <x:v>70.8442</x:v>
      </x:c>
      <x:c r="AM15" s="57" t="n">
        <x:f>X15*0.22+U15*0.18+O15*0.18+P15*0.14+Y15*0.12+N15*0.1+AB15*0.06</x:f>
        <x:v>73.9024</x:v>
      </x:c>
      <x:c r="AN15" s="57" t="n">
        <x:f>P15*0.28+N15*0.22+Q15*0.18+O15*0.12+V15*0.08+Y15*0.07+AB15*0.05</x:f>
        <x:v>72.0548</x:v>
      </x:c>
      <x:c r="AO15" s="57" t="n">
        <x:f>N15*0.28+V15*0.28+O15*0.16+Y15*0.08+X15*0.07+AB15*0.08+P15*0.05</x:f>
        <x:v>74.0477</x:v>
      </x:c>
      <x:c r="AP15" s="57" t="n">
        <x:f>S15*0.32+P15*0.18+N15*0.14+Q15*0.1+V15*0.1+X15*0.07+AB15*0.09</x:f>
        <x:v>71.9564</x:v>
      </x:c>
      <x:c r="AQ15" s="57" t="n">
        <x:f>Q15*0.3+Y15*0.18+P15*0.18+V15*0.12+X15*0.08+N15*0.08+AB15*0.06</x:f>
        <x:v>72.57480000000001</x:v>
      </x:c>
      <x:c r="AR15" s="57" t="n">
        <x:f>X15*0.24+V15*0.2+Y15*0.14+Q15*0.12+N15*0.12+S15*0.08+AB15*0.1</x:f>
        <x:v>74.64</x:v>
      </x:c>
      <x:c r="AS15" s="57" t="n">
        <x:f>O15*0.34+N15*0.24+V15*0.14+P15*0.1+Y15*0.07+X15*0.04+AB15*0.07</x:f>
        <x:v>73.80539999999999</x:v>
      </x:c>
      <x:c r="AT15" s="57" t="n">
        <x:f>AA15*0.32+N15*0.18+X15*0.13+W15*0.13+T15*0.08+Y15*0.06+AB15*0.1</x:f>
        <x:v>75.19520000000001</x:v>
      </x:c>
      <x:c r="AU15" s="57" t="n">
        <x:f>Z15*0.3+X15*0.2+W15*0.16+Q15*0.12+Y15*0.08+T15*0.06+AB15*0.08</x:f>
        <x:v>77.34039999999999</x:v>
      </x:c>
      <x:c r="AV15" s="57" t="n">
        <x:f>W15*0.3+X15*0.28+Y15*0.1+Z15*0.1+T15*0.07+AA15*0.06+AB15*0.09</x:f>
        <x:v>77.91799999999999</x:v>
      </x:c>
      <x:c r="AW15" s="57" t="n">
        <x:f>T15*0.28+AA15*0.16+Z15*0.14+X15*0.14+W15*0.12+AB15*0.1+Y15*0.06</x:f>
        <x:v>75.7732</x:v>
      </x:c>
      <x:c r="AX15" s="57" t="n">
        <x:f>Q15*0.24+Z15*0.24+Y15*0.16+X15*0.14+W15*0.12+AB15*0.06+T15*0.04</x:f>
        <x:v>75.9888</x:v>
      </x:c>
      <x:c r="AY15" s="57" t="n">
        <x:f>V15*0.22+AA15*0.2+Y15*0.14+X15*0.14+T15*0.12+Q15*0.08+AB15*0.1</x:f>
        <x:v>74.0964</x:v>
      </x:c>
      <x:c r="AZ15" s="57" t="n">
        <x:f>W15*0.36+X15*0.22+Y15*0.1+Z15*0.12+T15*0.06+AB15*0.1+AA15*0.04</x:f>
        <x:v>78.16919999999999</x:v>
      </x:c>
      <x:c r="BA15" s="57" t="n">
        <x:f>X15*0.34+W15*0.24+Z15*0.14+Y15*0.1+AB15*0.08+T15*0.06+AA15*0.04</x:f>
        <x:v>78.00439999999999</x:v>
      </x:c>
      <x:c r="BB15" s="57" t="n">
        <x:f>Z15*0.34+X15*0.18+W15*0.16+T15*0.1+AB15*0.08+Y15*0.08+AA15*0.06</x:f>
        <x:v>77.3648</x:v>
      </x:c>
      <x:c r="BC15" s="57" t="n">
        <x:f>AA15*0.3+N15*0.18+W15*0.16+X15*0.14+T15*0.08+Y15*0.05+AB15*0.09</x:f>
        <x:v>75.4782</x:v>
      </x:c>
      <x:c r="BD15" s="57" t="n">
        <x:f>T15*0.3+Z15*0.18+X15*0.16+W15*0.16+AA15*0.08+AB15*0.08+Y15*0.04</x:f>
        <x:v>76.3912</x:v>
      </x:c>
      <x:c r="BE15" s="57" t="n">
        <x:f>Q15*0.24+Z15*0.24+Y15*0.16+X15*0.16+W15*0.12+AB15*0.06+T15*0.02</x:f>
        <x:v>76.1336</x:v>
      </x:c>
      <x:c r="BF15" s="58" t="n">
        <x:f>W15*0.24+V15*0.2+Y15*0.16+X15*0.16+Q15*0.08+T15*0.08+AB15*0.08</x:f>
        <x:v>76.0504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50" t="str">
        <x:v>Player</x:v>
      </x:c>
      <x:c r="B1" s="51" t="str">
        <x:v>Primary Position</x:v>
      </x:c>
      <x:c r="C1" s="51" t="str">
        <x:v>Target OVR</x:v>
      </x:c>
      <x:c r="D1" s="51" t="str">
        <x:v>Generated OVR</x:v>
      </x:c>
      <x:c r="E1" s="51" t="str">
        <x:v>Gap</x:v>
      </x:c>
      <x:c r="F1" s="51" t="str">
        <x:v>Base Flat Score</x:v>
      </x:c>
      <x:c r="G1" s="51" t="str">
        <x:v>Best Archetype</x:v>
      </x:c>
      <x:c r="H1" s="51" t="str">
        <x:v>Best Archetype Score</x:v>
      </x:c>
      <x:c r="I1" s="51" t="str">
        <x:v>Raw Blend</x:v>
      </x:c>
      <x:c r="J1" s="51" t="str">
        <x:v>Capped Score</x:v>
      </x:c>
      <x:c r="K1" s="51" t="str">
        <x:v>Diagnosis</x:v>
      </x:c>
      <x:c r="L1" s="52" t="str">
        <x:v>Action</x:v>
      </x:c>
    </x:row>
    <x:row r="2">
      <x:c r="A2" s="53" t="str">
        <x:f>'Archetype OVR Debug'!A2</x:f>
        <x:v>Ángel Rodríguez</x:v>
      </x:c>
      <x:c r="B2" s="54" t="str">
        <x:f>'Archetype OVR Debug'!B2</x:f>
        <x:v>PG</x:v>
      </x:c>
      <x:c r="C2" s="54" t="n">
        <x:f>'Archetype OVR Debug'!C2</x:f>
        <x:v>91</x:v>
      </x:c>
      <x:c r="D2" s="54" t="n">
        <x:f>'Archetype OVR Debug'!K2</x:f>
        <x:v>90</x:v>
      </x:c>
      <x:c r="E2" s="54" t="n">
        <x:f>D2-C2</x:f>
        <x:v>-1</x:v>
      </x:c>
      <x:c r="F2" s="54" t="n">
        <x:f>'Archetype OVR Debug'!D2</x:f>
        <x:v>88.95899999999999</x:v>
      </x:c>
      <x:c r="G2" s="54" t="str">
        <x:f>'Archetype OVR Debug'!E2</x:f>
        <x:v>defensivePG</x:v>
      </x:c>
      <x:c r="H2" s="54" t="n">
        <x:f>'Archetype OVR Debug'!F2</x:f>
        <x:v>91.783</x:v>
      </x:c>
      <x:c r="I2" s="54" t="n">
        <x:f>'Archetype OVR Debug'!I2</x:f>
        <x:v>89.80619999999999</x:v>
      </x:c>
      <x:c r="J2" s="54" t="n">
        <x:f>'Archetype OVR Debug'!J2</x:f>
        <x:v>89.80619999999999</x:v>
      </x:c>
      <x:c r="K2" s="54" t="str">
        <x:f>'Archetype OVR Debug'!M2</x:f>
        <x:v>On target</x:v>
      </x:c>
      <x:c r="L2" s="55" t="str">
        <x:f>IF(ABS(E2)&lt;=1,"No action",IF(E2&lt;0,"Below target: review key attrs/archetype weights or cap","Above target: review attrs/weights"))</x:f>
        <x:v>No action</x:v>
      </x:c>
    </x:row>
    <x:row r="3">
      <x:c r="A3" s="53" t="str">
        <x:f>'Archetype OVR Debug'!A3</x:f>
        <x:v>Walter Hodge</x:v>
      </x:c>
      <x:c r="B3" s="54" t="str">
        <x:f>'Archetype OVR Debug'!B3</x:f>
        <x:v>PG</x:v>
      </x:c>
      <x:c r="C3" s="54" t="n">
        <x:f>'Archetype OVR Debug'!C3</x:f>
        <x:v>84</x:v>
      </x:c>
      <x:c r="D3" s="54" t="n">
        <x:f>'Archetype OVR Debug'!K3</x:f>
        <x:v>86</x:v>
      </x:c>
      <x:c r="E3" s="54" t="n">
        <x:f>D3-C3</x:f>
        <x:v>2</x:v>
      </x:c>
      <x:c r="F3" s="54" t="n">
        <x:f>'Archetype OVR Debug'!D3</x:f>
        <x:v>84.051</x:v>
      </x:c>
      <x:c r="G3" s="54" t="str">
        <x:f>'Archetype OVR Debug'!E3</x:f>
        <x:v>floorGeneral</x:v>
      </x:c>
      <x:c r="H3" s="54" t="n">
        <x:f>'Archetype OVR Debug'!F3</x:f>
        <x:v>89.0694</x:v>
      </x:c>
      <x:c r="I3" s="54" t="n">
        <x:f>'Archetype OVR Debug'!I3</x:f>
        <x:v>85.55651999999999</x:v>
      </x:c>
      <x:c r="J3" s="54" t="n">
        <x:f>'Archetype OVR Debug'!J3</x:f>
        <x:v>85.55651999999999</x:v>
      </x:c>
      <x:c r="K3" s="54" t="str">
        <x:f>'Archetype OVR Debug'!M3</x:f>
        <x:v>Close</x:v>
      </x:c>
      <x:c r="L3" s="55" t="str">
        <x:f>IF(ABS(E3)&lt;=1,"No action",IF(E3&lt;0,"Below target: review key attrs/archetype weights or cap","Above target: review attrs/weights"))</x:f>
        <x:v>Above target: review attrs/weights</x:v>
      </x:c>
    </x:row>
    <x:row r="4">
      <x:c r="A4" s="53" t="str">
        <x:f>'Archetype OVR Debug'!A4</x:f>
        <x:v>Jordan Howard</x:v>
      </x:c>
      <x:c r="B4" s="54" t="str">
        <x:f>'Archetype OVR Debug'!B4</x:f>
        <x:v>PG</x:v>
      </x:c>
      <x:c r="C4" s="54" t="n">
        <x:f>'Archetype OVR Debug'!C4</x:f>
        <x:v>89</x:v>
      </x:c>
      <x:c r="D4" s="54" t="n">
        <x:f>'Archetype OVR Debug'!K4</x:f>
        <x:v>90</x:v>
      </x:c>
      <x:c r="E4" s="54" t="n">
        <x:f>D4-C4</x:f>
        <x:v>1</x:v>
      </x:c>
      <x:c r="F4" s="54" t="n">
        <x:f>'Archetype OVR Debug'!D4</x:f>
        <x:v>88.58400000000003</x:v>
      </x:c>
      <x:c r="G4" s="54" t="str">
        <x:f>'Archetype OVR Debug'!E4</x:f>
        <x:v>offBallPG</x:v>
      </x:c>
      <x:c r="H4" s="54" t="n">
        <x:f>'Archetype OVR Debug'!F4</x:f>
        <x:v>92.07800000000002</x:v>
      </x:c>
      <x:c r="I4" s="54" t="n">
        <x:f>'Archetype OVR Debug'!I4</x:f>
        <x:v>89.63220000000001</x:v>
      </x:c>
      <x:c r="J4" s="54" t="n">
        <x:f>'Archetype OVR Debug'!J4</x:f>
        <x:v>89.63220000000001</x:v>
      </x:c>
      <x:c r="K4" s="54" t="str">
        <x:f>'Archetype OVR Debug'!M4</x:f>
        <x:v>On target</x:v>
      </x:c>
      <x:c r="L4" s="55" t="str">
        <x:f>IF(ABS(E4)&lt;=1,"No action",IF(E4&lt;0,"Below target: review key attrs/archetype weights or cap","Above target: review attrs/weights"))</x:f>
        <x:v>No action</x:v>
      </x:c>
    </x:row>
    <x:row r="5">
      <x:c r="A5" s="53" t="str">
        <x:f>'Archetype OVR Debug'!A5</x:f>
        <x:v>Emmanuel Maldonado</x:v>
      </x:c>
      <x:c r="B5" s="54" t="str">
        <x:f>'Archetype OVR Debug'!B5</x:f>
        <x:v>SG</x:v>
      </x:c>
      <x:c r="C5" s="54" t="n">
        <x:f>'Archetype OVR Debug'!C5</x:f>
        <x:v>76</x:v>
      </x:c>
      <x:c r="D5" s="54" t="n">
        <x:f>'Archetype OVR Debug'!K5</x:f>
        <x:v>77</x:v>
      </x:c>
      <x:c r="E5" s="54" t="n">
        <x:f>D5-C5</x:f>
        <x:v>1</x:v>
      </x:c>
      <x:c r="F5" s="54" t="n">
        <x:f>'Archetype OVR Debug'!D5</x:f>
        <x:v>75.69000000000001</x:v>
      </x:c>
      <x:c r="G5" s="54" t="str">
        <x:f>'Archetype OVR Debug'!E5</x:f>
        <x:v>offScreenShooter</x:v>
      </x:c>
      <x:c r="H5" s="54" t="n">
        <x:f>'Archetype OVR Debug'!F5</x:f>
        <x:v>78.97959999999999</x:v>
      </x:c>
      <x:c r="I5" s="54" t="n">
        <x:f>'Archetype OVR Debug'!I5</x:f>
        <x:v>76.67688</x:v>
      </x:c>
      <x:c r="J5" s="54" t="n">
        <x:f>'Archetype OVR Debug'!J5</x:f>
        <x:v>76.67688</x:v>
      </x:c>
      <x:c r="K5" s="54" t="str">
        <x:f>'Archetype OVR Debug'!M5</x:f>
        <x:v>On target</x:v>
      </x:c>
      <x:c r="L5" s="55" t="str">
        <x:f>IF(ABS(E5)&lt;=1,"No action",IF(E5&lt;0,"Below target: review key attrs/archetype weights or cap","Above target: review attrs/weights"))</x:f>
        <x:v>No action</x:v>
      </x:c>
    </x:row>
    <x:row r="6">
      <x:c r="A6" s="53" t="str">
        <x:f>'Archetype OVR Debug'!A6</x:f>
        <x:v>David Huertas</x:v>
      </x:c>
      <x:c r="B6" s="54" t="str">
        <x:f>'Archetype OVR Debug'!B6</x:f>
        <x:v>SG</x:v>
      </x:c>
      <x:c r="C6" s="54" t="n">
        <x:f>'Archetype OVR Debug'!C6</x:f>
        <x:v>71</x:v>
      </x:c>
      <x:c r="D6" s="54" t="n">
        <x:f>'Archetype OVR Debug'!K6</x:f>
        <x:v>73</x:v>
      </x:c>
      <x:c r="E6" s="54" t="n">
        <x:f>D6-C6</x:f>
        <x:v>2</x:v>
      </x:c>
      <x:c r="F6" s="54" t="n">
        <x:f>'Archetype OVR Debug'!D6</x:f>
        <x:v>70.96000000000001</x:v>
      </x:c>
      <x:c r="G6" s="54" t="str">
        <x:f>'Archetype OVR Debug'!E6</x:f>
        <x:v>offScreenShooter</x:v>
      </x:c>
      <x:c r="H6" s="54" t="n">
        <x:f>'Archetype OVR Debug'!F6</x:f>
        <x:v>78.31199999999998</x:v>
      </x:c>
      <x:c r="I6" s="54" t="n">
        <x:f>'Archetype OVR Debug'!I6</x:f>
        <x:v>73.1656</x:v>
      </x:c>
      <x:c r="J6" s="54" t="n">
        <x:f>'Archetype OVR Debug'!J6</x:f>
        <x:v>73.1656</x:v>
      </x:c>
      <x:c r="K6" s="54" t="str">
        <x:f>'Archetype OVR Debug'!M6</x:f>
        <x:v>Close</x:v>
      </x:c>
      <x:c r="L6" s="55" t="str">
        <x:f>IF(ABS(E6)&lt;=1,"No action",IF(E6&lt;0,"Below target: review key attrs/archetype weights or cap","Above target: review attrs/weights"))</x:f>
        <x:v>Above target: review attrs/weights</x:v>
      </x:c>
    </x:row>
    <x:row r="7">
      <x:c r="A7" s="53" t="str">
        <x:f>'Archetype OVR Debug'!A7</x:f>
        <x:v>Corey McKeithan</x:v>
      </x:c>
      <x:c r="B7" s="54" t="str">
        <x:f>'Archetype OVR Debug'!B7</x:f>
        <x:v>PG</x:v>
      </x:c>
      <x:c r="C7" s="54" t="n">
        <x:f>'Archetype OVR Debug'!C7</x:f>
        <x:v>77</x:v>
      </x:c>
      <x:c r="D7" s="54" t="n">
        <x:f>'Archetype OVR Debug'!K7</x:f>
        <x:v>78</x:v>
      </x:c>
      <x:c r="E7" s="54" t="n">
        <x:f>D7-C7</x:f>
        <x:v>1</x:v>
      </x:c>
      <x:c r="F7" s="54" t="n">
        <x:f>'Archetype OVR Debug'!D7</x:f>
        <x:v>77.489</x:v>
      </x:c>
      <x:c r="G7" s="54" t="str">
        <x:f>'Archetype OVR Debug'!E7</x:f>
        <x:v>scoringPG</x:v>
      </x:c>
      <x:c r="H7" s="54" t="n">
        <x:f>'Archetype OVR Debug'!F7</x:f>
        <x:v>78.9518</x:v>
      </x:c>
      <x:c r="I7" s="54" t="n">
        <x:f>'Archetype OVR Debug'!I7</x:f>
        <x:v>77.92784</x:v>
      </x:c>
      <x:c r="J7" s="54" t="n">
        <x:f>'Archetype OVR Debug'!J7</x:f>
        <x:v>77.92784</x:v>
      </x:c>
      <x:c r="K7" s="54" t="str">
        <x:f>'Archetype OVR Debug'!M7</x:f>
        <x:v>On target</x:v>
      </x:c>
      <x:c r="L7" s="55" t="str">
        <x:f>IF(ABS(E7)&lt;=1,"No action",IF(E7&lt;0,"Below target: review key attrs/archetype weights or cap","Above target: review attrs/weights"))</x:f>
        <x:v>No action</x:v>
      </x:c>
    </x:row>
    <x:row r="8">
      <x:c r="A8" s="53" t="str">
        <x:f>'Archetype OVR Debug'!A8</x:f>
        <x:v>Malik Beasley</x:v>
      </x:c>
      <x:c r="B8" s="54" t="str">
        <x:f>'Archetype OVR Debug'!B8</x:f>
        <x:v>SG</x:v>
      </x:c>
      <x:c r="C8" s="54" t="n">
        <x:f>'Archetype OVR Debug'!C8</x:f>
        <x:v>93</x:v>
      </x:c>
      <x:c r="D8" s="54" t="n">
        <x:f>'Archetype OVR Debug'!K8</x:f>
        <x:v>94</x:v>
      </x:c>
      <x:c r="E8" s="54" t="n">
        <x:f>D8-C8</x:f>
        <x:v>1</x:v>
      </x:c>
      <x:c r="F8" s="54" t="n">
        <x:f>'Archetype OVR Debug'!D8</x:f>
        <x:v>93.00999999999999</x:v>
      </x:c>
      <x:c r="G8" s="54" t="str">
        <x:f>'Archetype OVR Debug'!E8</x:f>
        <x:v>offScreenShooter</x:v>
      </x:c>
      <x:c r="H8" s="54" t="n">
        <x:f>'Archetype OVR Debug'!F8</x:f>
        <x:v>97.19680000000001</x:v>
      </x:c>
      <x:c r="I8" s="54" t="n">
        <x:f>'Archetype OVR Debug'!I8</x:f>
        <x:v>94.26603999999999</x:v>
      </x:c>
      <x:c r="J8" s="54" t="n">
        <x:f>'Archetype OVR Debug'!J8</x:f>
        <x:v>94.26603999999999</x:v>
      </x:c>
      <x:c r="K8" s="54" t="str">
        <x:f>'Archetype OVR Debug'!M8</x:f>
        <x:v>On target</x:v>
      </x:c>
      <x:c r="L8" s="55" t="str">
        <x:f>IF(ABS(E8)&lt;=1,"No action",IF(E8&lt;0,"Below target: review key attrs/archetype weights or cap","Above target: review attrs/weights"))</x:f>
        <x:v>No action</x:v>
      </x:c>
    </x:row>
    <x:row r="9">
      <x:c r="A9" s="53" t="str">
        <x:f>'Archetype OVR Debug'!A9</x:f>
        <x:v>Ángel Matías</x:v>
      </x:c>
      <x:c r="B9" s="54" t="str">
        <x:f>'Archetype OVR Debug'!B9</x:f>
        <x:v>SF</x:v>
      </x:c>
      <x:c r="C9" s="54" t="n">
        <x:f>'Archetype OVR Debug'!C9</x:f>
        <x:v>84</x:v>
      </x:c>
      <x:c r="D9" s="54" t="n">
        <x:f>'Archetype OVR Debug'!K9</x:f>
        <x:v>85</x:v>
      </x:c>
      <x:c r="E9" s="54" t="n">
        <x:f>D9-C9</x:f>
        <x:v>1</x:v>
      </x:c>
      <x:c r="F9" s="54" t="n">
        <x:f>'Archetype OVR Debug'!D9</x:f>
        <x:v>83.66000000000004</x:v>
      </x:c>
      <x:c r="G9" s="54" t="str">
        <x:f>'Archetype OVR Debug'!E9</x:f>
        <x:v>offBallWing</x:v>
      </x:c>
      <x:c r="H9" s="54" t="n">
        <x:f>'Archetype OVR Debug'!F9</x:f>
        <x:v>86.6653</x:v>
      </x:c>
      <x:c r="I9" s="54" t="n">
        <x:f>'Archetype OVR Debug'!I9</x:f>
        <x:v>84.56159000000002</x:v>
      </x:c>
      <x:c r="J9" s="54" t="n">
        <x:f>'Archetype OVR Debug'!J9</x:f>
        <x:v>84.56159000000002</x:v>
      </x:c>
      <x:c r="K9" s="54" t="str">
        <x:f>'Archetype OVR Debug'!M9</x:f>
        <x:v>On target</x:v>
      </x:c>
      <x:c r="L9" s="55" t="str">
        <x:f>IF(ABS(E9)&lt;=1,"No action",IF(E9&lt;0,"Below target: review key attrs/archetype weights or cap","Above target: review attrs/weights"))</x:f>
        <x:v>No action</x:v>
      </x:c>
    </x:row>
    <x:row r="10">
      <x:c r="A10" s="53" t="str">
        <x:f>'Archetype OVR Debug'!A10</x:f>
        <x:v>Isaiah Piñeiro</x:v>
      </x:c>
      <x:c r="B10" s="54" t="str">
        <x:f>'Archetype OVR Debug'!B10</x:f>
        <x:v>SF</x:v>
      </x:c>
      <x:c r="C10" s="54" t="n">
        <x:f>'Archetype OVR Debug'!C10</x:f>
        <x:v>86</x:v>
      </x:c>
      <x:c r="D10" s="54" t="n">
        <x:f>'Archetype OVR Debug'!K10</x:f>
        <x:v>86</x:v>
      </x:c>
      <x:c r="E10" s="54" t="n">
        <x:f>D10-C10</x:f>
        <x:v>0</x:v>
      </x:c>
      <x:c r="F10" s="54" t="n">
        <x:f>'Archetype OVR Debug'!D10</x:f>
        <x:v>85.64500000000001</x:v>
      </x:c>
      <x:c r="G10" s="54" t="str">
        <x:f>'Archetype OVR Debug'!E10</x:f>
        <x:v>reboundingWing</x:v>
      </x:c>
      <x:c r="H10" s="54" t="n">
        <x:f>'Archetype OVR Debug'!F10</x:f>
        <x:v>85.8908</x:v>
      </x:c>
      <x:c r="I10" s="54" t="n">
        <x:f>'Archetype OVR Debug'!I10</x:f>
        <x:v>85.71874</x:v>
      </x:c>
      <x:c r="J10" s="54" t="n">
        <x:f>'Archetype OVR Debug'!J10</x:f>
        <x:v>85.71874</x:v>
      </x:c>
      <x:c r="K10" s="54" t="str">
        <x:f>'Archetype OVR Debug'!M10</x:f>
        <x:v>On target</x:v>
      </x:c>
      <x:c r="L10" s="55" t="str">
        <x:f>IF(ABS(E10)&lt;=1,"No action",IF(E10&lt;0,"Below target: review key attrs/archetype weights or cap","Above target: review attrs/weights"))</x:f>
        <x:v>No action</x:v>
      </x:c>
    </x:row>
    <x:row r="11">
      <x:c r="A11" s="53" t="str">
        <x:f>'Archetype OVR Debug'!A11</x:f>
        <x:v>Tyler Polo</x:v>
      </x:c>
      <x:c r="B11" s="54" t="str">
        <x:f>'Archetype OVR Debug'!B11</x:f>
        <x:v>PF</x:v>
      </x:c>
      <x:c r="C11" s="54" t="n">
        <x:f>'Archetype OVR Debug'!C11</x:f>
        <x:v>62</x:v>
      </x:c>
      <x:c r="D11" s="54" t="n">
        <x:f>'Archetype OVR Debug'!K11</x:f>
        <x:v>63</x:v>
      </x:c>
      <x:c r="E11" s="54" t="n">
        <x:f>D11-C11</x:f>
        <x:v>1</x:v>
      </x:c>
      <x:c r="F11" s="54" t="n">
        <x:f>'Archetype OVR Debug'!D11</x:f>
        <x:v>61.739999999999995</x:v>
      </x:c>
      <x:c r="G11" s="54" t="str">
        <x:f>'Archetype OVR Debug'!E11</x:f>
        <x:v>stretchFour</x:v>
      </x:c>
      <x:c r="H11" s="54" t="n">
        <x:f>'Archetype OVR Debug'!F11</x:f>
        <x:v>64.73610000000001</x:v>
      </x:c>
      <x:c r="I11" s="54" t="n">
        <x:f>'Archetype OVR Debug'!I11</x:f>
        <x:v>62.63883</x:v>
      </x:c>
      <x:c r="J11" s="54" t="n">
        <x:f>'Archetype OVR Debug'!J11</x:f>
        <x:v>62.63883</x:v>
      </x:c>
      <x:c r="K11" s="54" t="str">
        <x:f>'Archetype OVR Debug'!M11</x:f>
        <x:v>On target</x:v>
      </x:c>
      <x:c r="L11" s="55" t="str">
        <x:f>IF(ABS(E11)&lt;=1,"No action",IF(E11&lt;0,"Below target: review key attrs/archetype weights or cap","Above target: review attrs/weights"))</x:f>
        <x:v>No action</x:v>
      </x:c>
    </x:row>
    <x:row r="12">
      <x:c r="A12" s="53" t="str">
        <x:f>'Archetype OVR Debug'!A12</x:f>
        <x:v>Xavier Zambrana</x:v>
      </x:c>
      <x:c r="B12" s="54" t="str">
        <x:f>'Archetype OVR Debug'!B12</x:f>
        <x:v>PF</x:v>
      </x:c>
      <x:c r="C12" s="54" t="n">
        <x:f>'Archetype OVR Debug'!C12</x:f>
        <x:v>57</x:v>
      </x:c>
      <x:c r="D12" s="54" t="n">
        <x:f>'Archetype OVR Debug'!K12</x:f>
        <x:v>57</x:v>
      </x:c>
      <x:c r="E12" s="54" t="n">
        <x:f>D12-C12</x:f>
        <x:v>0</x:v>
      </x:c>
      <x:c r="F12" s="54" t="n">
        <x:f>'Archetype OVR Debug'!D12</x:f>
        <x:v>56.51</x:v>
      </x:c>
      <x:c r="G12" s="54" t="str">
        <x:f>'Archetype OVR Debug'!E12</x:f>
        <x:v>defensiveRebounderPF</x:v>
      </x:c>
      <x:c r="H12" s="54" t="n">
        <x:f>'Archetype OVR Debug'!F12</x:f>
        <x:v>58.6956</x:v>
      </x:c>
      <x:c r="I12" s="54" t="n">
        <x:f>'Archetype OVR Debug'!I12</x:f>
        <x:v>57.165679999999995</x:v>
      </x:c>
      <x:c r="J12" s="54" t="n">
        <x:f>'Archetype OVR Debug'!J12</x:f>
        <x:v>57.165679999999995</x:v>
      </x:c>
      <x:c r="K12" s="54" t="str">
        <x:f>'Archetype OVR Debug'!M12</x:f>
        <x:v>On target</x:v>
      </x:c>
      <x:c r="L12" s="55" t="str">
        <x:f>IF(ABS(E12)&lt;=1,"No action",IF(E12&lt;0,"Below target: review key attrs/archetype weights or cap","Above target: review attrs/weights"))</x:f>
        <x:v>No action</x:v>
      </x:c>
    </x:row>
    <x:row r="13">
      <x:c r="A13" s="53" t="str">
        <x:f>'Archetype OVR Debug'!A13</x:f>
        <x:v>Devon Collier</x:v>
      </x:c>
      <x:c r="B13" s="54" t="str">
        <x:f>'Archetype OVR Debug'!B13</x:f>
        <x:v>PF</x:v>
      </x:c>
      <x:c r="C13" s="54" t="n">
        <x:f>'Archetype OVR Debug'!C13</x:f>
        <x:v>78</x:v>
      </x:c>
      <x:c r="D13" s="54" t="n">
        <x:f>'Archetype OVR Debug'!K13</x:f>
        <x:v>79</x:v>
      </x:c>
      <x:c r="E13" s="54" t="n">
        <x:f>D13-C13</x:f>
        <x:v>1</x:v>
      </x:c>
      <x:c r="F13" s="54" t="n">
        <x:f>'Archetype OVR Debug'!D13</x:f>
        <x:v>77.56500000000001</x:v>
      </x:c>
      <x:c r="G13" s="54" t="str">
        <x:f>'Archetype OVR Debug'!E13</x:f>
        <x:v>interiorPF</x:v>
      </x:c>
      <x:c r="H13" s="54" t="n">
        <x:f>'Archetype OVR Debug'!F13</x:f>
        <x:v>81.734</x:v>
      </x:c>
      <x:c r="I13" s="54" t="n">
        <x:f>'Archetype OVR Debug'!I13</x:f>
        <x:v>78.8157</x:v>
      </x:c>
      <x:c r="J13" s="54" t="n">
        <x:f>'Archetype OVR Debug'!J13</x:f>
        <x:v>78.8157</x:v>
      </x:c>
      <x:c r="K13" s="54" t="str">
        <x:f>'Archetype OVR Debug'!M13</x:f>
        <x:v>On target</x:v>
      </x:c>
      <x:c r="L13" s="55" t="str">
        <x:f>IF(ABS(E13)&lt;=1,"No action",IF(E13&lt;0,"Below target: review key attrs/archetype weights or cap","Above target: review attrs/weights"))</x:f>
        <x:v>No action</x:v>
      </x:c>
    </x:row>
    <x:row r="14">
      <x:c r="A14" s="53" t="str">
        <x:f>'Archetype OVR Debug'!A14</x:f>
        <x:v>Davon Jefferson</x:v>
      </x:c>
      <x:c r="B14" s="54" t="str">
        <x:f>'Archetype OVR Debug'!B14</x:f>
        <x:v>PF</x:v>
      </x:c>
      <x:c r="C14" s="54" t="n">
        <x:f>'Archetype OVR Debug'!C14</x:f>
        <x:v>77</x:v>
      </x:c>
      <x:c r="D14" s="54" t="n">
        <x:f>'Archetype OVR Debug'!K14</x:f>
        <x:v>78</x:v>
      </x:c>
      <x:c r="E14" s="54" t="n">
        <x:f>D14-C14</x:f>
        <x:v>1</x:v>
      </x:c>
      <x:c r="F14" s="54" t="n">
        <x:f>'Archetype OVR Debug'!D14</x:f>
        <x:v>76.54499999999999</x:v>
      </x:c>
      <x:c r="G14" s="54" t="str">
        <x:f>'Archetype OVR Debug'!E14</x:f>
        <x:v>interiorPF</x:v>
      </x:c>
      <x:c r="H14" s="54" t="n">
        <x:f>'Archetype OVR Debug'!F14</x:f>
        <x:v>81.2968</x:v>
      </x:c>
      <x:c r="I14" s="54" t="n">
        <x:f>'Archetype OVR Debug'!I14</x:f>
        <x:v>77.97054</x:v>
      </x:c>
      <x:c r="J14" s="54" t="n">
        <x:f>'Archetype OVR Debug'!J14</x:f>
        <x:v>77.97054</x:v>
      </x:c>
      <x:c r="K14" s="54" t="str">
        <x:f>'Archetype OVR Debug'!M14</x:f>
        <x:v>On target</x:v>
      </x:c>
      <x:c r="L14" s="55" t="str">
        <x:f>IF(ABS(E14)&lt;=1,"No action",IF(E14&lt;0,"Below target: review key attrs/archetype weights or cap","Above target: review attrs/weights"))</x:f>
        <x:v>No action</x:v>
      </x:c>
    </x:row>
    <x:row r="15">
      <x:c r="A15" s="53" t="str">
        <x:f>'Archetype OVR Debug'!A15</x:f>
        <x:v>Viktor Lakhin</x:v>
      </x:c>
      <x:c r="B15" s="54" t="str">
        <x:f>'Archetype OVR Debug'!B15</x:f>
        <x:v>C</x:v>
      </x:c>
      <x:c r="C15" s="54" t="n">
        <x:f>'Archetype OVR Debug'!C15</x:f>
        <x:v>78</x:v>
      </x:c>
      <x:c r="D15" s="54" t="n">
        <x:f>'Archetype OVR Debug'!K15</x:f>
        <x:v>78</x:v>
      </x:c>
      <x:c r="E15" s="54" t="n">
        <x:f>D15-C15</x:f>
        <x:v>0</x:v>
      </x:c>
      <x:c r="F15" s="54" t="n">
        <x:f>'Archetype OVR Debug'!D15</x:f>
        <x:v>77.62999999999998</x:v>
      </x:c>
      <x:c r="G15" s="54" t="str">
        <x:f>'Archetype OVR Debug'!E15</x:f>
        <x:v>rimProtector</x:v>
      </x:c>
      <x:c r="H15" s="54" t="n">
        <x:f>'Archetype OVR Debug'!F15</x:f>
        <x:v>78.16919999999999</x:v>
      </x:c>
      <x:c r="I15" s="54" t="n">
        <x:f>'Archetype OVR Debug'!I15</x:f>
        <x:v>77.79175999999998</x:v>
      </x:c>
      <x:c r="J15" s="54" t="n">
        <x:f>'Archetype OVR Debug'!J15</x:f>
        <x:v>77.79175999999998</x:v>
      </x:c>
      <x:c r="K15" s="54" t="str">
        <x:f>'Archetype OVR Debug'!M15</x:f>
        <x:v>On target</x:v>
      </x:c>
      <x:c r="L15" s="55" t="str">
        <x:f>IF(ABS(E15)&lt;=1,"No action",IF(E15&lt;0,"Below target: review key attrs/archetype weights or cap","Above target: review attrs/weights"))</x:f>
        <x:v>No action</x:v>
      </x:c>
    </x:row>
    <x:row r="16">
      <x:c r="A16" s="53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5"/>
    </x:row>
    <x:row r="17">
      <x:c r="A17" s="53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5"/>
    </x:row>
    <x:row r="18">
      <x:c r="A18" s="53"/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5"/>
    </x:row>
    <x:row r="19">
      <x:c r="A19" s="80" t="str">
        <x:v>Archetype System Notes</x:v>
      </x:c>
      <x:c r="B19" s="73" t="str"/>
      <x:c r="C19" s="54"/>
      <x:c r="D19" s="54"/>
      <x:c r="E19" s="54"/>
      <x:c r="F19" s="54"/>
      <x:c r="G19" s="54"/>
      <x:c r="H19" s="54"/>
      <x:c r="I19" s="54"/>
      <x:c r="J19" s="54"/>
      <x:c r="K19" s="54"/>
      <x:c r="L19" s="55"/>
    </x:row>
    <x:row r="20">
      <x:c r="A20" s="80" t="str">
        <x:v>Formula</x:v>
      </x:c>
      <x:c r="B20" s="73" t="str">
        <x:v>Final OVR = ROUND(CLAMP(MIN(Base+6, MAX(Base-2, Base*0.70 + BestArchetype*0.30)), 25, 99), 0)</x:v>
      </x:c>
      <x:c r="C20" s="54"/>
      <x:c r="D20" s="54"/>
      <x:c r="E20" s="54"/>
      <x:c r="F20" s="54"/>
      <x:c r="G20" s="54"/>
      <x:c r="H20" s="54"/>
      <x:c r="I20" s="54"/>
      <x:c r="J20" s="54"/>
      <x:c r="K20" s="54"/>
      <x:c r="L20" s="55"/>
    </x:row>
    <x:row r="21">
      <x:c r="A21" s="80" t="str">
        <x:v>Natural OVR</x:v>
      </x:c>
      <x:c r="B21" s="73" t="str">
        <x:v>Uses Primary Position only. Secondary Position is not blended into Natural/Profile OVR.</x:v>
      </x:c>
      <x:c r="C21" s="54"/>
      <x:c r="D21" s="54"/>
      <x:c r="E21" s="54"/>
      <x:c r="F21" s="54"/>
      <x:c r="G21" s="54"/>
      <x:c r="H21" s="54"/>
      <x:c r="I21" s="54"/>
      <x:c r="J21" s="54"/>
      <x:c r="K21" s="54"/>
      <x:c r="L21" s="55"/>
    </x:row>
    <x:row r="22">
      <x:c r="A22" s="80" t="str">
        <x:v>Target OVR</x:v>
      </x:c>
      <x:c r="B22" s="73" t="str">
        <x:v>Used as calibration reference only; it is not written over Generated OVR.</x:v>
      </x:c>
      <x:c r="C22" s="54"/>
      <x:c r="D22" s="54"/>
      <x:c r="E22" s="54"/>
      <x:c r="F22" s="54"/>
      <x:c r="G22" s="54"/>
      <x:c r="H22" s="54"/>
      <x:c r="I22" s="54"/>
      <x:c r="J22" s="54"/>
      <x:c r="K22" s="54"/>
      <x:c r="L22" s="55"/>
    </x:row>
    <x:row r="23">
      <x:c r="A23" s="81" t="str">
        <x:v>Best Archetype</x:v>
      </x:c>
      <x:c r="B23" s="75" t="str">
        <x:v>Selected automatically from ratings. No manual archetype label or bonus is used.</x:v>
      </x:c>
      <x:c r="C23" s="57"/>
      <x:c r="D23" s="57"/>
      <x:c r="E23" s="57"/>
      <x:c r="F23" s="57"/>
      <x:c r="G23" s="57"/>
      <x:c r="H23" s="57"/>
      <x:c r="I23" s="57"/>
      <x:c r="J23" s="57"/>
      <x:c r="K23" s="57"/>
      <x:c r="L23" s="58"/>
    </x:row>
  </x:sheetData>
  <x:conditionalFormatting sqref="E2:E15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pageMargins left="0.7" right="0.7" top="0.75" bottom="0.75" header="0.3" footer="0.3"/>
</x:worksheet>
</file>